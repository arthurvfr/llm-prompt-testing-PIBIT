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Avaliacao" sheetId="1" state="visible" r:id="rId1"/>
    <sheet name="Rubrica" sheetId="2" state="visible" r:id="rId2"/>
    <sheet name="Resum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family val="2"/>
      <color theme="1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D2E9"/>
      </patternFill>
    </fill>
    <fill>
      <patternFill patternType="solid">
        <fgColor rgb="FFD9D2E9"/>
        <bgColor rgb="FFD9EAD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zoomScale="85" zoomScaleNormal="85" workbookViewId="0">
      <pane ySplit="1" topLeftCell="A2" activePane="bottomLeft" state="frozen"/>
      <selection pane="bottomLeft" activeCell="E3" sqref="E3"/>
    </sheetView>
  </sheetViews>
  <sheetFormatPr baseColWidth="8" defaultColWidth="8.7109375" defaultRowHeight="15" outlineLevelCol="0"/>
  <cols>
    <col width="10" customWidth="1" min="1" max="1"/>
    <col width="8" customWidth="1" min="2" max="3"/>
    <col width="20" customWidth="1" min="4" max="4"/>
    <col width="55" customWidth="1" min="5" max="5"/>
    <col width="14" customWidth="1" min="6" max="8"/>
    <col width="40" customWidth="1" min="9" max="10"/>
    <col width="14" customWidth="1" min="11" max="12"/>
    <col width="35" customWidth="1" min="13" max="13"/>
    <col width="16" customWidth="1" min="14" max="17"/>
    <col width="12" customWidth="1" min="18" max="18"/>
    <col width="16" customWidth="1" min="19" max="19"/>
    <col width="35" customWidth="1" min="20" max="20"/>
  </cols>
  <sheetData>
    <row r="1" ht="30" customHeight="1">
      <c r="A1" s="1" t="inlineStr">
        <is>
          <t>Problem</t>
        </is>
      </c>
      <c r="B1" s="1" t="inlineStr">
        <is>
          <t>Student</t>
        </is>
      </c>
      <c r="C1" s="1" t="inlineStr">
        <is>
          <t>Attempt</t>
        </is>
      </c>
      <c r="D1" s="1" t="inlineStr">
        <is>
          <t>Status_Original</t>
        </is>
      </c>
      <c r="E1" s="1" t="inlineStr">
        <is>
          <t>Codigo_Aluno</t>
        </is>
      </c>
      <c r="F1" s="1" t="inlineStr">
        <is>
          <t>Gemini_is_correct</t>
        </is>
      </c>
      <c r="G1" s="1" t="inlineStr">
        <is>
          <t>Gemini_linha_erro</t>
        </is>
      </c>
      <c r="H1" s="1" t="inlineStr">
        <is>
          <t>Gemini_tipo_erro</t>
        </is>
      </c>
      <c r="I1" s="1" t="inlineStr">
        <is>
          <t>Gemini_feedback_formativo</t>
        </is>
      </c>
      <c r="J1" s="1" t="inlineStr">
        <is>
          <t>Gemini_dica_acao</t>
        </is>
      </c>
      <c r="K1" s="1" t="inlineStr">
        <is>
          <t>Gold_tipo_erro</t>
        </is>
      </c>
      <c r="L1" s="1" t="inlineStr">
        <is>
          <t>Gold_linha_erro</t>
        </is>
      </c>
      <c r="M1" s="1" t="inlineStr">
        <is>
          <t>Gold_descricao_correcao</t>
        </is>
      </c>
      <c r="N1" s="1" t="inlineStr">
        <is>
          <t>Diagnostico_Correto</t>
        </is>
      </c>
      <c r="O1" s="1" t="inlineStr">
        <is>
          <t>Nao_Revela_Solucao_1a5</t>
        </is>
      </c>
      <c r="P1" s="1" t="inlineStr">
        <is>
          <t>Foco_Unico_Erro_1a5</t>
        </is>
      </c>
      <c r="Q1" s="1" t="inlineStr">
        <is>
          <t>Qualidade_Socratica_1a5</t>
        </is>
      </c>
      <c r="R1" s="1" t="inlineStr">
        <is>
          <t>Clareza_1a5</t>
        </is>
      </c>
      <c r="S1" s="1" t="inlineStr">
        <is>
          <t>Tom_Motivacional_1a5</t>
        </is>
      </c>
      <c r="T1" s="1" t="inlineStr">
        <is>
          <t>Comentarios</t>
        </is>
      </c>
    </row>
    <row r="2" ht="114.75" customHeight="1">
      <c r="A2" s="2" t="n">
        <v>1132</v>
      </c>
      <c r="B2" s="2" t="n">
        <v>1</v>
      </c>
      <c r="C2" s="2" t="n">
        <v>1</v>
      </c>
      <c r="D2" s="2" t="inlineStr">
        <is>
          <t>Runtime error</t>
        </is>
      </c>
      <c r="E2" s="2" t="inlineStr">
        <is>
          <t>#include &lt;stdio.h&gt;
X, Y = map(int, input().split())
soma = 0
for c in range(X, Y)
    if c % 13 != 0:
        soma += c
print(soma)</t>
        </is>
      </c>
      <c r="F2" s="3" t="b">
        <v>0</v>
      </c>
      <c r="G2" s="3" t="n">
        <v>6</v>
      </c>
      <c r="H2" s="3" t="inlineStr">
        <is>
          <t>Sintaxe</t>
        </is>
      </c>
      <c r="I2" s="3" t="inlineStr">
        <is>
          <t>O interpretador Python encontrou um problema de estrutura na linha 6 e não conseguiu iniciar a execução do seu programa.</t>
        </is>
      </c>
      <c r="J2" s="3" t="inlineStr">
        <is>
          <t>Observe a estrutura do seu 'if' na linha 7 e compare com o seu 'for' na linha 6. Qual sinal visual o Python exige no final dessas linhas de comando para indicar o início de um novo bloco?</t>
        </is>
      </c>
      <c r="K2" s="4" t="inlineStr">
        <is>
          <t>Sintaxe</t>
        </is>
      </c>
      <c r="L2" s="4" t="n">
        <v>6</v>
      </c>
      <c r="M2" s="4" t="inlineStr">
        <is>
          <t>[RASCUNHO] Falta ':' no final do for (SyntaxError)</t>
        </is>
      </c>
      <c r="N2" s="2">
        <f>IF(AND(H2&lt;&gt;"",K2&lt;&gt;""),IF(H2=K2,1,0),"")</f>
        <v/>
      </c>
      <c r="O2" s="5" t="n"/>
      <c r="P2" s="5" t="n"/>
      <c r="Q2" s="5" t="n"/>
      <c r="R2" s="5" t="n"/>
      <c r="S2" s="5" t="n"/>
      <c r="T2" s="2" t="n"/>
    </row>
    <row r="3" ht="114.75" customHeight="1">
      <c r="A3" s="2" t="n">
        <v>1132</v>
      </c>
      <c r="B3" s="2" t="n">
        <v>1</v>
      </c>
      <c r="C3" s="2" t="n">
        <v>2</v>
      </c>
      <c r="D3" s="2" t="inlineStr">
        <is>
          <t>Runtime error</t>
        </is>
      </c>
      <c r="E3" s="15" t="inlineStr">
        <is>
          <t>#include &lt;stdio.h&gt;
X, Y = map(int, input().split())
soma = 0
for c in range(X, Y + 1)
    if c % 13 != 0:
        soma += c
print(soma)</t>
        </is>
      </c>
      <c r="F3" s="3" t="b">
        <v>0</v>
      </c>
      <c r="G3" s="3" t="n">
        <v>6</v>
      </c>
      <c r="H3" s="3" t="inlineStr">
        <is>
          <t>Sintaxe</t>
        </is>
      </c>
      <c r="I3" s="3" t="inlineStr">
        <is>
          <t>O seu código está bem estruturado, mas o Python interrompeu a leitura assim que tentou criar a sua estrutura de repetição.</t>
        </is>
      </c>
      <c r="J3" s="3" t="inlineStr">
        <is>
          <t>Compare a escrita da linha 6 (o `for`) com a linha 7 (o `if`). Qual sinal estrutural você utilizou no final da linha 7 para indicar o início do bloco que não está presente na linha 6?</t>
        </is>
      </c>
      <c r="K3" s="4" t="inlineStr">
        <is>
          <t>Sintaxe</t>
        </is>
      </c>
      <c r="L3" s="4" t="n">
        <v>6</v>
      </c>
      <c r="M3" s="4" t="inlineStr">
        <is>
          <t>[RASCUNHO] Ainda falta ':' no for -- regressao do erro de sintaxe nao corrigida</t>
        </is>
      </c>
      <c r="N3" s="2">
        <f>IF(AND(H3&lt;&gt;"",K3&lt;&gt;""),IF(H3=K3,1,0),"")</f>
        <v/>
      </c>
      <c r="O3" s="5" t="n"/>
      <c r="P3" s="5" t="n"/>
      <c r="Q3" s="5" t="n"/>
      <c r="R3" s="5" t="n"/>
      <c r="S3" s="5" t="n"/>
      <c r="T3" s="2" t="n"/>
    </row>
    <row r="4" ht="127.5" customHeight="1">
      <c r="A4" s="2" t="n">
        <v>1132</v>
      </c>
      <c r="B4" s="2" t="n">
        <v>1</v>
      </c>
      <c r="C4" s="2" t="n">
        <v>3</v>
      </c>
      <c r="D4" s="2" t="inlineStr">
        <is>
          <t>Wrong answer (100%)</t>
        </is>
      </c>
      <c r="E4" s="2" t="inlineStr">
        <is>
          <t>#include &lt;stdio.h&gt;
X = int(input())
Y = int(input())
soma = 0
for c in range(X, Y+1):
  if c % 13 != 0:
    soma += c
print(soma)</t>
        </is>
      </c>
      <c r="F4" s="3" t="b">
        <v>0</v>
      </c>
      <c r="G4" s="3" t="n">
        <v>7</v>
      </c>
      <c r="H4" s="3" t="inlineStr">
        <is>
          <t>Lógica</t>
        </is>
      </c>
      <c r="I4" s="3" t="inlineStr">
        <is>
          <t>Seu código funciona bem quando o primeiro número digitado é menor que o segundo. Porém, o programa não produz o resultado correto dependendo da ordem das entradas.</t>
        </is>
      </c>
      <c r="J4" s="3" t="inlineStr">
        <is>
          <t>O que acontece com a execução do laço `for` se o usuário digitar X = 20 e Y = 10? Simule esse caso passo a passo.</t>
        </is>
      </c>
      <c r="K4" s="4" t="inlineStr">
        <is>
          <t>Lógica</t>
        </is>
      </c>
      <c r="L4" s="4" t="n">
        <v>7</v>
      </c>
      <c r="M4" s="4" t="inlineStr">
        <is>
          <t>[RASCUNHO] Nao trata o caso X &gt; Y (falta swap dos valores antes do loop)</t>
        </is>
      </c>
      <c r="N4" s="2">
        <f>IF(AND(H4&lt;&gt;"",K4&lt;&gt;""),IF(H4=K4,1,0),"")</f>
        <v/>
      </c>
      <c r="O4" s="5" t="n"/>
      <c r="P4" s="5" t="n"/>
      <c r="Q4" s="5" t="n"/>
      <c r="R4" s="5" t="n"/>
      <c r="S4" s="5" t="n"/>
      <c r="T4" s="2" t="n"/>
    </row>
    <row r="5" ht="114.75" customHeight="1">
      <c r="A5" s="2" t="n">
        <v>1132</v>
      </c>
      <c r="B5" s="2" t="n">
        <v>1</v>
      </c>
      <c r="C5" s="2" t="n">
        <v>4</v>
      </c>
      <c r="D5" s="2" t="inlineStr">
        <is>
          <t>Runtime error</t>
        </is>
      </c>
      <c r="E5" s="2" t="inlineStr">
        <is>
          <t>#include &lt;stdio.h&gt;
X, Y= map(int. input())
soma = 0
for c in range(X, Y+1):
    if c % 13 != 0:
        soma += c
print(soma)</t>
        </is>
      </c>
      <c r="F5" s="3" t="b">
        <v>0</v>
      </c>
      <c r="G5" s="3" t="n">
        <v>3</v>
      </c>
      <c r="H5" s="3" t="inlineStr">
        <is>
          <t>Sintaxe</t>
        </is>
      </c>
      <c r="I5" s="3" t="inlineStr">
        <is>
          <t>O interpretador Python não conseguiu entender a instrução na linha onde você recebe os dados de entrada.</t>
        </is>
      </c>
      <c r="J5" s="3" t="inlineStr">
        <is>
          <t>Examine a pontuação usada dentro da função `map` na linha 3. Qual caractere o Python utiliza para separar os diferentes argumentos de uma função?</t>
        </is>
      </c>
      <c r="K5" s="4" t="inlineStr">
        <is>
          <t>Sintaxe</t>
        </is>
      </c>
      <c r="L5" s="4" t="n">
        <v>3</v>
      </c>
      <c r="M5" s="4" t="inlineStr">
        <is>
          <t>[RASCUNHO] 'int. input()' com ponto em vez de virgula -- erro de digitacao (SyntaxError)</t>
        </is>
      </c>
      <c r="N5" s="2">
        <f>IF(AND(H5&lt;&gt;"",K5&lt;&gt;""),IF(H5=K5,1,0),"")</f>
        <v/>
      </c>
      <c r="O5" s="5" t="n"/>
      <c r="P5" s="5" t="n"/>
      <c r="Q5" s="5" t="n"/>
      <c r="R5" s="5" t="n"/>
      <c r="S5" s="5" t="n"/>
      <c r="T5" s="2" t="n"/>
    </row>
    <row r="6" ht="114.75" customHeight="1">
      <c r="A6" s="2" t="n">
        <v>1132</v>
      </c>
      <c r="B6" s="2" t="n">
        <v>1</v>
      </c>
      <c r="C6" s="2" t="n">
        <v>5</v>
      </c>
      <c r="D6" s="2" t="inlineStr">
        <is>
          <t>Runtime error</t>
        </is>
      </c>
      <c r="E6" s="2" t="inlineStr">
        <is>
          <t>#include &lt;stdio.h&gt;
X, Y= map(int. input().split())
soma = 0
for c in range(X, Y+1):
    if c % 13 != 0:
        soma += c
print(soma)</t>
        </is>
      </c>
      <c r="F6" s="3" t="b">
        <v>0</v>
      </c>
      <c r="G6" s="3" t="n">
        <v>3</v>
      </c>
      <c r="H6" s="3" t="inlineStr">
        <is>
          <t>Sintaxe</t>
        </is>
      </c>
      <c r="I6" s="3" t="inlineStr">
        <is>
          <t>Olá! Notei que o Python não conseguiu sequer começar a rodar seu código por causa de um pequeno detalhe de sintaxe na leitura dos dados.</t>
        </is>
      </c>
      <c r="J6" s="3" t="inlineStr">
        <is>
          <t>Olhe bem para a linha 3 na chamada da função `map(...)`: qual é o caractere que a linguagem Python exige para separar diferentes argumentos dentro de uma função?</t>
        </is>
      </c>
      <c r="K6" s="4" t="inlineStr">
        <is>
          <t>Sintaxe</t>
        </is>
      </c>
      <c r="L6" s="4" t="n">
        <v>3</v>
      </c>
      <c r="M6" s="4" t="inlineStr">
        <is>
          <t>[RASCUNHO] Mesmo erro de digitacao 'int.' ainda nao corrigido</t>
        </is>
      </c>
      <c r="N6" s="2">
        <f>IF(AND(H6&lt;&gt;"",K6&lt;&gt;""),IF(H6=K6,1,0),"")</f>
        <v/>
      </c>
      <c r="O6" s="5" t="n"/>
      <c r="P6" s="5" t="n"/>
      <c r="Q6" s="5" t="n"/>
      <c r="R6" s="5" t="n"/>
      <c r="S6" s="5" t="n"/>
      <c r="T6" s="2" t="n"/>
    </row>
    <row r="7" ht="114.75" customHeight="1">
      <c r="A7" s="2" t="n">
        <v>1132</v>
      </c>
      <c r="B7" s="2" t="n">
        <v>1</v>
      </c>
      <c r="C7" s="2" t="n">
        <v>6</v>
      </c>
      <c r="D7" s="2" t="inlineStr">
        <is>
          <t>Runtime error</t>
        </is>
      </c>
      <c r="E7" s="2" t="inlineStr">
        <is>
          <t>#include &lt;stdio.h&gt;
X, Y= map(int, input().split())
soma = 0
for c in range(X, Y+1):
    if c % 13 != 0:
        soma += c
print(soma)</t>
        </is>
      </c>
      <c r="F7" s="3" t="b">
        <v>0</v>
      </c>
      <c r="G7" s="3" t="n">
        <v>6</v>
      </c>
      <c r="H7" s="3" t="inlineStr">
        <is>
          <t>Lógica</t>
        </is>
      </c>
      <c r="I7" s="3" t="inlineStr">
        <is>
          <t>Seu código executa perfeitamente em termos de sintaxe, mas em certas combinações de entrada o laço de repetição não se comporta como o esperado.</t>
        </is>
      </c>
      <c r="J7" s="3" t="inlineStr">
        <is>
          <t>Simule o seu código no papel ou execute-o fornecendo os valores X = 20 e Y = 10. Qual é a saída obtida e por que o laço se comporta dessa forma?</t>
        </is>
      </c>
      <c r="K7" s="4" t="inlineStr">
        <is>
          <t>Execução</t>
        </is>
      </c>
      <c r="L7" s="4" t="n">
        <v>3</v>
      </c>
      <c r="M7" s="4" t="inlineStr">
        <is>
          <t>[RASCUNHO] input().split() le os dois valores da mesma linha, mas o formato de entrada tem X e Y em linhas separadas (erro ao desempacotar)</t>
        </is>
      </c>
      <c r="N7" s="2">
        <f>IF(AND(H7&lt;&gt;"",K7&lt;&gt;""),IF(H7=K7,1,0),"")</f>
        <v/>
      </c>
      <c r="O7" s="5" t="n"/>
      <c r="P7" s="5" t="n"/>
      <c r="Q7" s="5" t="n"/>
      <c r="R7" s="5" t="n"/>
      <c r="S7" s="5" t="n"/>
      <c r="T7" s="2" t="n"/>
    </row>
    <row r="8" ht="127.5" customHeight="1">
      <c r="A8" s="2" t="n">
        <v>1132</v>
      </c>
      <c r="B8" s="2" t="n">
        <v>1</v>
      </c>
      <c r="C8" s="2" t="n">
        <v>7</v>
      </c>
      <c r="D8" s="2" t="inlineStr">
        <is>
          <t>Wrong answer (100%)</t>
        </is>
      </c>
      <c r="E8" s="2" t="inlineStr">
        <is>
          <t>#include &lt;stdio.h&gt;
X = int(input())
Y= int(input())
soma = 0
for c in range(X, Y+1):
    if c % 13 != 0:
        soma += c
print(soma)</t>
        </is>
      </c>
      <c r="F8" s="3" t="b">
        <v>0</v>
      </c>
      <c r="G8" s="3" t="n">
        <v>7</v>
      </c>
      <c r="H8" s="3" t="inlineStr">
        <is>
          <t>Lógica</t>
        </is>
      </c>
      <c r="I8" s="3" t="inlineStr">
        <is>
          <t>Seu código funciona muito bem quando o primeiro número lido é menor que o segundo. No entanto, o enunciado não garante a ordem das entradas X e Y.</t>
        </is>
      </c>
      <c r="J8" s="3" t="inlineStr">
        <is>
          <t>O que acontece com o seu laço de repetição se o usuário digitar X = 20 e Y = 10? Tente simular a execução nesse cenário.</t>
        </is>
      </c>
      <c r="K8" s="4" t="inlineStr">
        <is>
          <t>Lógica</t>
        </is>
      </c>
      <c r="L8" s="4" t="n">
        <v>7</v>
      </c>
      <c r="M8" s="4" t="inlineStr">
        <is>
          <t>[RASCUNHO] Nao trata o caso X &gt; Y (mesmo problema da tentativa 3)</t>
        </is>
      </c>
      <c r="N8" s="2">
        <f>IF(AND(H8&lt;&gt;"",K8&lt;&gt;""),IF(H8=K8,1,0),"")</f>
        <v/>
      </c>
      <c r="O8" s="5" t="n"/>
      <c r="P8" s="5" t="n"/>
      <c r="Q8" s="5" t="n"/>
      <c r="R8" s="5" t="n"/>
      <c r="S8" s="5" t="n"/>
      <c r="T8" s="2" t="n"/>
    </row>
    <row r="9" ht="165.75" customHeight="1">
      <c r="A9" s="2" t="n">
        <v>1132</v>
      </c>
      <c r="B9" s="2" t="n">
        <v>1</v>
      </c>
      <c r="C9" s="2" t="n">
        <v>8</v>
      </c>
      <c r="D9" s="2" t="inlineStr">
        <is>
          <t>Accepted</t>
        </is>
      </c>
      <c r="E9" s="2" t="inlineStr">
        <is>
          <t>#include &lt;stdio.h&gt;
X = int(input())
Y = int(input())
if X &gt; Y:
    X, Y = Y, X
soma = 0
for c in range(X, Y+1):
    if c % 13 != 0:
        soma += c
print(soma)</t>
        </is>
      </c>
      <c r="F9" s="3" t="b">
        <v>1</v>
      </c>
      <c r="G9" s="3" t="n"/>
      <c r="H9" s="3" t="n"/>
      <c r="I9" s="3" t="inlineStr">
        <is>
          <t>Excelente trabalho! Seu código está muito bem estruturado, lida corretamente com a ordem dos números e resolve o problema perfeitamente em Python 3.</t>
        </is>
      </c>
      <c r="J9" s="3" t="inlineStr">
        <is>
          <t>Como um desafio de aprimoramento: você saberia reescrever esse laço de repetição em uma única linha usando a função `sum()` junto com uma expressão geradora?</t>
        </is>
      </c>
      <c r="K9" s="4" t="inlineStr">
        <is>
          <t>Nenhum (código correto)</t>
        </is>
      </c>
      <c r="L9" s="4" t="n"/>
      <c r="M9" s="4" t="inlineStr">
        <is>
          <t>[RASCUNHO] Accepted</t>
        </is>
      </c>
      <c r="N9" s="2">
        <f>IF(AND(H9&lt;&gt;"",K9&lt;&gt;""),IF(H9=K9,1,0),"")</f>
        <v/>
      </c>
      <c r="O9" s="5" t="n"/>
      <c r="P9" s="5" t="n"/>
      <c r="Q9" s="5" t="n"/>
      <c r="R9" s="5" t="n"/>
      <c r="S9" s="5" t="n"/>
      <c r="T9" s="2" t="n"/>
    </row>
    <row r="10" ht="165.75" customHeight="1">
      <c r="A10" s="2" t="n">
        <v>1132</v>
      </c>
      <c r="B10" s="2" t="n">
        <v>2</v>
      </c>
      <c r="C10" s="2" t="n">
        <v>1</v>
      </c>
      <c r="D10" s="2" t="inlineStr">
        <is>
          <t>Runtime error</t>
        </is>
      </c>
      <c r="E10" s="2" t="inlineStr">
        <is>
          <t xml:space="preserve">x = int(input())
y = int(input())
naoDivisiveisPor13 = []
for numero in rage(x, y + 1):
    if numero % 13 != 0:
      naoDivisiveisPor13.append(numero)
soma = sum(naoDivisiveisPor13)
print('{}'.format(soma))
</t>
        </is>
      </c>
      <c r="F10" s="3" t="b">
        <v>0</v>
      </c>
      <c r="G10" s="3" t="n">
        <v>6</v>
      </c>
      <c r="H10" s="3" t="inlineStr">
        <is>
          <t>Execução</t>
        </is>
      </c>
      <c r="I10" s="3" t="inlineStr">
        <is>
          <t>Olá! Seu código tem uma excelente estrutura, mas o Python não conseguiu executar a linha 6 e parou antes mesmo de entrar no laço.</t>
        </is>
      </c>
      <c r="J10" s="3" t="inlineStr">
        <is>
          <t>Dê uma olhada bem atenta no nome da função utilizada na linha 6 para criar a sequência de números. Essa palavra foi digitada exatamente como o Python a conhece?</t>
        </is>
      </c>
      <c r="K10" s="4" t="inlineStr">
        <is>
          <t>Execução</t>
        </is>
      </c>
      <c r="L10" s="4" t="n">
        <v>6</v>
      </c>
      <c r="M10" s="4" t="inlineStr">
        <is>
          <t>[RASCUNHO] 'rage' deveria ser 'range' (NameError)</t>
        </is>
      </c>
      <c r="N10" s="2">
        <f>IF(AND(H10&lt;&gt;"",K10&lt;&gt;""),IF(H10=K10,1,0),"")</f>
        <v/>
      </c>
      <c r="O10" s="5" t="n"/>
      <c r="P10" s="5" t="n"/>
      <c r="Q10" s="5" t="n"/>
      <c r="R10" s="5" t="n"/>
      <c r="S10" s="5" t="n"/>
      <c r="T10" s="2" t="n"/>
    </row>
    <row r="11" ht="153" customHeight="1">
      <c r="A11" s="2" t="n">
        <v>1132</v>
      </c>
      <c r="B11" s="2" t="n">
        <v>2</v>
      </c>
      <c r="C11" s="2" t="n">
        <v>2</v>
      </c>
      <c r="D11" s="2" t="inlineStr">
        <is>
          <t>Wrong answer (100%)</t>
        </is>
      </c>
      <c r="E11" s="2" t="inlineStr">
        <is>
          <t>x = int(input())
y = int(input())
naoDivisiveisPor13 = []
for numero in range(x, y + 1):
    if numero % 13 != 0:
      naoDivisiveisPor13.append(numero)
soma = sum(naoDivisiveisPor13)
print('{}'.format(soma))</t>
        </is>
      </c>
      <c r="F11" s="3" t="b">
        <v>0</v>
      </c>
      <c r="G11" s="3" t="n">
        <v>6</v>
      </c>
      <c r="H11" s="3" t="inlineStr">
        <is>
          <t>Lógica</t>
        </is>
      </c>
      <c r="I11" s="3" t="inlineStr">
        <is>
          <t>Seu código está muito organizado e funciona perfeitamente quando o primeiro número digitado é menor que o segundo. No entanto, há um cenário com certas entradas em que o laço de repetição não se comporta como esperado.</t>
        </is>
      </c>
      <c r="J11" s="3" t="inlineStr">
        <is>
          <t>Tente simular seu código no papel (ou rodar um teste) assumindo os valores X = 20 e Y = 10. O que acontece com a instrução `range(x, y + 1)` nesse caso?</t>
        </is>
      </c>
      <c r="K11" s="4" t="inlineStr">
        <is>
          <t>Lógica</t>
        </is>
      </c>
      <c r="L11" s="4" t="n">
        <v>6</v>
      </c>
      <c r="M11" s="4" t="inlineStr">
        <is>
          <t>[RASCUNHO] Nao trata o caso x &gt; y (falta swap dos valores)</t>
        </is>
      </c>
      <c r="N11" s="2">
        <f>IF(AND(H11&lt;&gt;"",K11&lt;&gt;""),IF(H11=K11,1,0),"")</f>
        <v/>
      </c>
      <c r="O11" s="5" t="n"/>
      <c r="P11" s="5" t="n"/>
      <c r="Q11" s="5" t="n"/>
      <c r="R11" s="5" t="n"/>
      <c r="S11" s="5" t="n"/>
      <c r="T11" s="2" t="n"/>
    </row>
    <row r="12" ht="153" customHeight="1">
      <c r="A12" s="2" t="n">
        <v>1132</v>
      </c>
      <c r="B12" s="2" t="n">
        <v>2</v>
      </c>
      <c r="C12" s="2" t="n">
        <v>3</v>
      </c>
      <c r="D12" s="2" t="inlineStr">
        <is>
          <t>Wrong answer (100%)</t>
        </is>
      </c>
      <c r="E12" s="2" t="inlineStr">
        <is>
          <t>x = int(input())
y = int(input())
naoDivisiveisPor13 = []
for numero in range(x, y + 1):
    if numero % 13 != 0:
      naoDivisiveisPor13.append(numero)
soma = sum(naoDivisiveisPor13)
print(soma)</t>
        </is>
      </c>
      <c r="F12" s="3" t="n"/>
      <c r="G12" s="3" t="n"/>
      <c r="H12" s="3" t="n"/>
      <c r="I12" s="3" t="n"/>
      <c r="J12" s="3" t="n"/>
      <c r="K12" s="4" t="inlineStr">
        <is>
          <t>Lógica</t>
        </is>
      </c>
      <c r="L12" s="4" t="n">
        <v>6</v>
      </c>
      <c r="M12" s="4" t="inlineStr">
        <is>
          <t>[RASCUNHO] Mesmo problema: nao trata x &gt; y</t>
        </is>
      </c>
      <c r="N12" s="2">
        <f>IF(AND(H12&lt;&gt;"",K12&lt;&gt;""),IF(H12=K12,1,0),"")</f>
        <v/>
      </c>
      <c r="O12" s="5" t="n"/>
      <c r="P12" s="5" t="n"/>
      <c r="Q12" s="5" t="n"/>
      <c r="R12" s="5" t="n"/>
      <c r="S12" s="5" t="n"/>
      <c r="T12" s="2" t="n"/>
    </row>
    <row r="13" ht="165.75" customHeight="1">
      <c r="A13" s="2" t="n">
        <v>1132</v>
      </c>
      <c r="B13" s="2" t="n">
        <v>2</v>
      </c>
      <c r="C13" s="2" t="n">
        <v>4</v>
      </c>
      <c r="D13" s="2" t="inlineStr">
        <is>
          <t>Accepted</t>
        </is>
      </c>
      <c r="E13" s="2" t="inlineStr">
        <is>
          <t>x = int(input())
y = int(input())
if x &gt; y:
    x, y = y, x
soma = 0
for numero in range(x, y + 1):
    if numero % 13 != 0:
        soma += numero
print(soma)</t>
        </is>
      </c>
      <c r="F13" s="3" t="b">
        <v>1</v>
      </c>
      <c r="G13" s="3" t="n"/>
      <c r="H13" s="3" t="n"/>
      <c r="I13" s="3" t="inlineStr">
        <is>
          <t>Excelente trabalho! Seu código está super organizado, trata corretamente o intervalo mesmo se os números forem digitados fora de ordem e faz o cálculo exatamente como solicitado.</t>
        </is>
      </c>
      <c r="J13" s="3" t="inlineStr">
        <is>
          <t>Como desafio para expandir seu conhecimento: você conseguiria resolver esse mesmo problema usando a função sum() combinada com uma list comprehension?</t>
        </is>
      </c>
      <c r="K13" s="4" t="inlineStr">
        <is>
          <t>Nenhum (código correto)</t>
        </is>
      </c>
      <c r="L13" s="4" t="n"/>
      <c r="M13" s="4" t="inlineStr">
        <is>
          <t>[RASCUNHO] Accepted</t>
        </is>
      </c>
      <c r="N13" s="2">
        <f>IF(AND(H13&lt;&gt;"",K13&lt;&gt;""),IF(H13=K13,1,0),"")</f>
        <v/>
      </c>
      <c r="O13" s="5" t="n"/>
      <c r="P13" s="5" t="n"/>
      <c r="Q13" s="5" t="n"/>
      <c r="R13" s="5" t="n"/>
      <c r="S13" s="5" t="n"/>
      <c r="T13" s="2" t="n"/>
    </row>
    <row r="14" ht="153" customHeight="1">
      <c r="A14" s="2" t="n">
        <v>1132</v>
      </c>
      <c r="B14" s="2" t="n">
        <v>3</v>
      </c>
      <c r="C14" s="2" t="n">
        <v>1</v>
      </c>
      <c r="D14" s="2" t="inlineStr">
        <is>
          <t>Runtime error</t>
        </is>
      </c>
      <c r="E14" s="2" t="inlineStr">
        <is>
          <t>X = int(input())
Y = int(input())
def naom13(X, Y):
    if X &gt; Y:
        X, Y = Y, X
    soma = 0
    for c in range(X, Y + 1):
        if c % 13 != 0:
            soma += c
    return soma
resultado = naom13(X, Y)
print(f'{resultado}')</t>
        </is>
      </c>
      <c r="F14" s="3" t="b">
        <v>1</v>
      </c>
      <c r="G14" s="3" t="n"/>
      <c r="H14" s="3" t="n"/>
      <c r="I14" s="3" t="inlineStr">
        <is>
          <t>Parabéns! Seu código funcionou perfeitamente e atendeu a todos os requisitos do problema, tratando inclusive o caso em que o primeiro número é maior que o segundo.</t>
        </is>
      </c>
      <c r="J14" s="3" t="inlineStr">
        <is>
          <t>Para ir além: você consegue pensar em uma forma de garantir que o menor número seja o início do range usando funções embutidas do Python como min() e max(), sem precisar do 'if'?</t>
        </is>
      </c>
      <c r="K14" s="4" t="inlineStr">
        <is>
          <t>Nenhum (código correto)</t>
        </is>
      </c>
      <c r="L14" s="4" t="n"/>
      <c r="M14" s="4" t="inlineStr">
        <is>
          <t>[RASCUNHO] Unico diff para a versao aceita e trocar f-string por .format()</t>
        </is>
      </c>
      <c r="N14" s="2">
        <f>IF(AND(H14&lt;&gt;"",K14&lt;&gt;""),IF(H14=K14,1,0),"")</f>
        <v/>
      </c>
      <c r="O14" s="5" t="n"/>
      <c r="P14" s="5" t="n"/>
      <c r="Q14" s="5" t="n"/>
      <c r="R14" s="5" t="n"/>
      <c r="S14" s="5" t="n"/>
      <c r="T14" s="2" t="inlineStr">
        <is>
          <t>[RASCUNHO] CASO AMBIGUO: f-string e sintaxe Python 3 valida; a diferenca sugere incompatibilidade do juiz com uma versao antiga do Python, nao um erro real detectavel na leitura do codigo. Considere revisar/excluir esta linha da metrica de acuracia. [RASCUNHO] CASO AMBIGUO: f-string e sintaxe Python 3 valida; a diferenca sugere incompatibilidade do juiz com uma versao antiga do Python, nao um erro real detectavel na leitura do codigo. Considere revisar/excluir esta linha da metrica de acuracia.</t>
        </is>
      </c>
    </row>
    <row r="15" ht="153" customHeight="1">
      <c r="A15" s="2" t="n">
        <v>1132</v>
      </c>
      <c r="B15" s="2" t="n">
        <v>3</v>
      </c>
      <c r="C15" s="2" t="n">
        <v>2</v>
      </c>
      <c r="D15" s="2" t="inlineStr">
        <is>
          <t>Accepted</t>
        </is>
      </c>
      <c r="E15" s="2" t="inlineStr">
        <is>
          <t>X = int(input())
Y = int(input())
def naom13(X, Y):
    if X &gt; Y:
        X, Y = Y, X
    soma = 0
    for c in range(X, Y + 1):
        if c % 13 != 0:
            soma += c
    return soma
resultado = naom13(X, Y)
print('{}'.format(resultado))</t>
        </is>
      </c>
      <c r="F15" s="3" t="b">
        <v>1</v>
      </c>
      <c r="G15" s="3" t="n"/>
      <c r="H15" s="3" t="n"/>
      <c r="I15" s="3" t="inlineStr">
        <is>
          <t>Excelente trabalho! O seu código está muito bem estruturado, lida corretamente com a ordem das variáveis X e Y, e calcula a soma dos não múltiplos de 13 perfeitamente.</t>
        </is>
      </c>
      <c r="J15" s="3" t="inlineStr">
        <is>
          <t>Como desafio extra de reflexão: você saberia dizer se é possível resolver esse mesmo problema de forma matemática sem utilizar o laço de repetição 'for'?</t>
        </is>
      </c>
      <c r="K15" s="4" t="inlineStr">
        <is>
          <t>Nenhum (código correto)</t>
        </is>
      </c>
      <c r="L15" s="4" t="n"/>
      <c r="M15" s="4" t="inlineStr">
        <is>
          <t>[RASCUNHO] Accepted</t>
        </is>
      </c>
      <c r="N15" s="2">
        <f>IF(AND(H15&lt;&gt;"",K15&lt;&gt;""),IF(H15=K15,1,0),"")</f>
        <v/>
      </c>
      <c r="O15" s="5" t="n"/>
      <c r="P15" s="5" t="n"/>
      <c r="Q15" s="5" t="n"/>
      <c r="R15" s="5" t="n"/>
      <c r="S15" s="5" t="n"/>
      <c r="T15" s="2" t="n"/>
    </row>
    <row r="16" ht="114.75" customHeight="1">
      <c r="A16" s="2" t="n">
        <v>1153</v>
      </c>
      <c r="B16" s="2" t="n">
        <v>1</v>
      </c>
      <c r="C16" s="2" t="n">
        <v>1</v>
      </c>
      <c r="D16" s="2" t="inlineStr">
        <is>
          <t>Accepted</t>
        </is>
      </c>
      <c r="E16" s="2" t="inlineStr">
        <is>
          <t>N = int(input())
if 0 &lt; N &lt; 13:
    valorNovo = 1
    for c in range(1, N + 1):
        valorNovo *= c
    print(valorNovo)
else:
    print("O valor de N deve estar no intervalo 0 &lt; N &lt; 13.")</t>
        </is>
      </c>
      <c r="F16" s="3" t="b">
        <v>0</v>
      </c>
      <c r="G16" s="3" t="n">
        <v>3</v>
      </c>
      <c r="H16" s="3" t="inlineStr">
        <is>
          <t>Lógica</t>
        </is>
      </c>
      <c r="I16" s="3" t="inlineStr">
        <is>
          <t>Seu algoritmo calcula o fatorial corretamente para números inteiros positivos, mas deixa de atender a um caso limite importante da definição do fatorial.</t>
        </is>
      </c>
      <c r="J16" s="3" t="inlineStr">
        <is>
          <t>Qual deve ser o resultado do fatorial quando N = 0? O que o seu código imprime se você digitar 0 como entrada?</t>
        </is>
      </c>
      <c r="K16" s="4" t="inlineStr">
        <is>
          <t>Nenhum (código correto)</t>
        </is>
      </c>
      <c r="L16" s="4" t="n"/>
      <c r="M16" s="4" t="inlineStr">
        <is>
          <t>[RASCUNHO] Accepted</t>
        </is>
      </c>
      <c r="N16" s="2">
        <f>IF(AND(H16&lt;&gt;"",K16&lt;&gt;""),IF(H16=K16,1,0),"")</f>
        <v/>
      </c>
      <c r="O16" s="5" t="n"/>
      <c r="P16" s="5" t="n"/>
      <c r="Q16" s="5" t="n"/>
      <c r="R16" s="5" t="n"/>
      <c r="S16" s="5" t="n"/>
      <c r="T16" s="2" t="n"/>
    </row>
    <row r="17" ht="114.75" customHeight="1">
      <c r="A17" s="2" t="n">
        <v>1153</v>
      </c>
      <c r="B17" s="2" t="n">
        <v>2</v>
      </c>
      <c r="C17" s="2" t="n">
        <v>1</v>
      </c>
      <c r="D17" s="2" t="inlineStr">
        <is>
          <t>Wrong answer (100%)</t>
        </is>
      </c>
      <c r="E17" s="2" t="inlineStr">
        <is>
          <t>n = int(input())
if 0 &lt; n &lt; 13:
    resultadoFatorial = 1
for i in range(1, n + 1):
    resultadoFatorial *= 1
print(resultadoFatorial)</t>
        </is>
      </c>
      <c r="F17" s="3" t="b">
        <v>0</v>
      </c>
      <c r="G17" s="3" t="n">
        <v>7</v>
      </c>
      <c r="H17" s="3" t="inlineStr">
        <is>
          <t>Lógica</t>
        </is>
      </c>
      <c r="I17" s="3" t="inlineStr">
        <is>
          <t>Seu programa executa, mas o cálculo final do fatorial não está acumulando a multiplicação dos números corretamente.</t>
        </is>
      </c>
      <c r="J17" s="3" t="inlineStr">
        <is>
          <t>Simule seu código no papel para N = 4: a cada passo do laço 'for', qual é o valor da variável 'i' e quanto vale 'resultadoFatorial' após a multiplicação?</t>
        </is>
      </c>
      <c r="K17" s="4" t="inlineStr">
        <is>
          <t>Lógica</t>
        </is>
      </c>
      <c r="L17" s="4" t="n">
        <v>7</v>
      </c>
      <c r="M17" s="4" t="inlineStr">
        <is>
          <t>[RASCUNHO] 'resultadoFatorial *= 1' deveria ser '*= i' -- nunca calcula o fatorial de fato</t>
        </is>
      </c>
      <c r="N17" s="2">
        <f>IF(AND(H17&lt;&gt;"",K17&lt;&gt;""),IF(H17=K17,1,0),"")</f>
        <v/>
      </c>
      <c r="O17" s="5" t="n"/>
      <c r="P17" s="5" t="n"/>
      <c r="Q17" s="5" t="n"/>
      <c r="R17" s="5" t="n"/>
      <c r="S17" s="5" t="n"/>
      <c r="T17" s="2" t="n"/>
    </row>
    <row r="18" ht="127.5" customHeight="1">
      <c r="A18" s="2" t="n">
        <v>1153</v>
      </c>
      <c r="B18" s="2" t="n">
        <v>2</v>
      </c>
      <c r="C18" s="2" t="n">
        <v>2</v>
      </c>
      <c r="D18" s="2" t="inlineStr">
        <is>
          <t>Runtime error</t>
        </is>
      </c>
      <c r="E18" s="2" t="inlineStr">
        <is>
          <t>n = int(input())
if 0 &lt; n &lt; 13:
    resultadoFatorial = 1
while n &gt; 1
    resultadoFatorial *= n
    n -= 1
print(resultadoFatorial)</t>
        </is>
      </c>
      <c r="F18" s="3" t="b">
        <v>0</v>
      </c>
      <c r="G18" s="3" t="n">
        <v>6</v>
      </c>
      <c r="H18" s="3" t="inlineStr">
        <is>
          <t>Sintaxe</t>
        </is>
      </c>
      <c r="I18" s="3" t="inlineStr">
        <is>
          <t>Olá! Analisei o seu código e notei que o interpretador do Python não consegue iniciar a execução do programa devido a uma falha de estrutura na linha 6.</t>
        </is>
      </c>
      <c r="J18" s="3" t="inlineStr">
        <is>
          <t>Compare o final do comando na linha 3 com o final do comando na linha 6. O que a linha 3 possui no fim do seu elemento de controle que está ausente na linha 6?</t>
        </is>
      </c>
      <c r="K18" s="4" t="inlineStr">
        <is>
          <t>Sintaxe</t>
        </is>
      </c>
      <c r="L18" s="4" t="n">
        <v>6</v>
      </c>
      <c r="M18" s="4" t="inlineStr">
        <is>
          <t>[RASCUNHO] Falta ':' no final do while (SyntaxError)</t>
        </is>
      </c>
      <c r="N18" s="2">
        <f>IF(AND(H18&lt;&gt;"",K18&lt;&gt;""),IF(H18=K18,1,0),"")</f>
        <v/>
      </c>
      <c r="O18" s="5" t="n"/>
      <c r="P18" s="5" t="n"/>
      <c r="Q18" s="5" t="n"/>
      <c r="R18" s="5" t="n"/>
      <c r="S18" s="5" t="n"/>
      <c r="T18" s="2" t="n"/>
    </row>
    <row r="19" ht="140.25" customHeight="1">
      <c r="A19" s="2" t="n">
        <v>1153</v>
      </c>
      <c r="B19" s="2" t="n">
        <v>2</v>
      </c>
      <c r="C19" s="2" t="n">
        <v>3</v>
      </c>
      <c r="D19" s="2" t="inlineStr">
        <is>
          <t>Accepted</t>
        </is>
      </c>
      <c r="E19" s="2" t="inlineStr">
        <is>
          <t>N = int(input())
if 0 &lt; N &lt; 13:
    resultado_fatorial = 1
    for i in range(2, N + 1):
        resultado_fatorial *= i
    print(resultado_fatorial)
else:
    print("Por favor, insira um valor válido para N.")</t>
        </is>
      </c>
      <c r="F19" s="3" t="b">
        <v>0</v>
      </c>
      <c r="G19" s="3" t="n">
        <v>3</v>
      </c>
      <c r="H19" s="3" t="inlineStr">
        <is>
          <t>Lógica</t>
        </is>
      </c>
      <c r="I19" s="3" t="inlineStr">
        <is>
          <t>Sua estrutura de repetição e o cálculo estão muito bem construídos! Porém, existe um caso de teste na matemática que sua validação inicial está desconsiderando.</t>
        </is>
      </c>
      <c r="J19" s="3" t="inlineStr">
        <is>
          <t>Qual é o valor matemático de 0! (fatorial de zero)? O que o seu programa imprime se o valor de entrada for N = 0?</t>
        </is>
      </c>
      <c r="K19" s="4" t="inlineStr">
        <is>
          <t>Nenhum (código correto)</t>
        </is>
      </c>
      <c r="L19" s="4" t="n"/>
      <c r="M19" s="4" t="inlineStr">
        <is>
          <t>[RASCUNHO] Accepted</t>
        </is>
      </c>
      <c r="N19" s="2">
        <f>IF(AND(H19&lt;&gt;"",K19&lt;&gt;""),IF(H19=K19,1,0),"")</f>
        <v/>
      </c>
      <c r="O19" s="5" t="n"/>
      <c r="P19" s="5" t="n"/>
      <c r="Q19" s="5" t="n"/>
      <c r="R19" s="5" t="n"/>
      <c r="S19" s="5" t="n"/>
      <c r="T19" s="2" t="n"/>
    </row>
    <row r="20" ht="63.75" customHeight="1">
      <c r="A20" s="2" t="n">
        <v>1153</v>
      </c>
      <c r="B20" s="2" t="n">
        <v>3</v>
      </c>
      <c r="C20" s="2" t="n">
        <v>1</v>
      </c>
      <c r="D20" s="2" t="inlineStr">
        <is>
          <t>Accepted</t>
        </is>
      </c>
      <c r="E20" s="2" t="inlineStr">
        <is>
          <t>N = int(input())
fatorial = 1
for c in range(N, 0, -1):
    fatorial *= c
print('{}'.format(fatorial))</t>
        </is>
      </c>
      <c r="F20" s="3" t="b">
        <v>1</v>
      </c>
      <c r="G20" s="3" t="n"/>
      <c r="H20" s="3" t="n"/>
      <c r="I20" s="3" t="inlineStr">
        <is>
          <t>Parabéns! Seu código está correto, limpo e resolve o problema perfeitamente.</t>
        </is>
      </c>
      <c r="J20" s="3" t="inlineStr">
        <is>
          <t>Sua lógica com o laço `for` decrementando funcionou muito bem. Como desafio extra de aprendizado: como você reescreveria esse mesmo código usando um laço `while`?</t>
        </is>
      </c>
      <c r="K20" s="4" t="inlineStr">
        <is>
          <t>Nenhum (código correto)</t>
        </is>
      </c>
      <c r="L20" s="4" t="n"/>
      <c r="M20" s="4" t="inlineStr">
        <is>
          <t>[RASCUNHO] Accepted</t>
        </is>
      </c>
      <c r="N20" s="2">
        <f>IF(AND(H20&lt;&gt;"",K20&lt;&gt;""),IF(H20=K20,1,0),"")</f>
        <v/>
      </c>
      <c r="O20" s="5" t="n"/>
      <c r="P20" s="5" t="n"/>
      <c r="Q20" s="5" t="n"/>
      <c r="R20" s="5" t="n"/>
      <c r="S20" s="5" t="n"/>
      <c r="T20" s="2" t="n"/>
    </row>
    <row r="21" ht="293.25" customHeight="1">
      <c r="A21" s="2" t="n">
        <v>1828</v>
      </c>
      <c r="B21" s="2" t="n">
        <v>1</v>
      </c>
      <c r="C21" s="2" t="n">
        <v>1</v>
      </c>
      <c r="D21" s="2" t="inlineStr">
        <is>
          <t>Runtime error</t>
        </is>
      </c>
      <c r="E21" s="2" t="inlineStr">
        <is>
          <t># -*- coding: utf-8 -*-
T = int(input("Digite o número de casos de teste: "))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
        else:
            print("Caso #{}: Raj trapaceou!" .format(c))</t>
        </is>
      </c>
      <c r="F21" s="3" t="b">
        <v>0</v>
      </c>
      <c r="G21" s="3" t="n">
        <v>16</v>
      </c>
      <c r="H21" s="3" t="inlineStr">
        <is>
          <t>Sintaxe</t>
        </is>
      </c>
      <c r="I21" s="3" t="inlineStr">
        <is>
          <t>O Python encontrou um problema de estrutura no seu código e não conseguiu interpretar a instrução antes de chegar na cláusula 'else'. Isso impede que o programa seja executado.</t>
        </is>
      </c>
      <c r="J21" s="3" t="inlineStr">
        <is>
          <t>Examine atentamente a linha do 'print' dentro do bloco 'elif'. Conte quantos parênteses você abriu e quantos você fechou nessa instrução. Todos os parênteses abertos foram devidamente fechados?</t>
        </is>
      </c>
      <c r="K21" s="4" t="inlineStr">
        <is>
          <t>Sintaxe</t>
        </is>
      </c>
      <c r="L21" s="4" t="n">
        <v>16</v>
      </c>
      <c r="M21" s="4" t="inlineStr">
        <is>
          <t>[RASCUNHO] Parenteses desbalanceados no print (falta um ')')</t>
        </is>
      </c>
      <c r="N21" s="2">
        <f>IF(AND(H21&lt;&gt;"",K21&lt;&gt;""),IF(H21=K21,1,0),"")</f>
        <v/>
      </c>
      <c r="O21" s="5" t="n"/>
      <c r="P21" s="5" t="n"/>
      <c r="Q21" s="5" t="n"/>
      <c r="R21" s="5" t="n"/>
      <c r="S21" s="5" t="n"/>
      <c r="T21" s="2" t="n"/>
    </row>
    <row r="22" ht="293.25" customHeight="1">
      <c r="A22" s="2" t="n">
        <v>1828</v>
      </c>
      <c r="B22" s="2" t="n">
        <v>1</v>
      </c>
      <c r="C22" s="2" t="n">
        <v>2</v>
      </c>
      <c r="D22" s="2" t="inlineStr">
        <is>
          <t>Wrong answer (5%)</t>
        </is>
      </c>
      <c r="E22" s="2" t="inlineStr">
        <is>
          <t># -*- coding: utf-8 -*-
T = int(input("Digite o número de casos de teste: "))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.format(c))
        else:
            print("Caso #{}: Raj trapaceou!" .format(c))</t>
        </is>
      </c>
      <c r="F22" s="3" t="b">
        <v>0</v>
      </c>
      <c r="G22" s="3" t="n">
        <v>3</v>
      </c>
      <c r="H22" s="3" t="inlineStr">
        <is>
          <t>Lógica</t>
        </is>
      </c>
      <c r="I22" s="3" t="inlineStr">
        <is>
          <t>Seu código está muito bem estruturado e a lógica do jogo faz sentido! No entanto, logo na leitura da primeira entrada, o programa envia um texto para a tela que pode fazer um corretor automático considerar a resposta incorreta.</t>
        </is>
      </c>
      <c r="J22" s="3" t="inlineStr">
        <is>
          <t>O que acontece com a saída do seu programa quando a função `input("Digite o número...")` é executada em um sistema de correção automática que compara caractere por caractere?</t>
        </is>
      </c>
      <c r="K22" s="4" t="inlineStr">
        <is>
          <t>Lógica</t>
        </is>
      </c>
      <c r="L22" s="4" t="n">
        <v>3</v>
      </c>
      <c r="M22" s="4" t="inlineStr">
        <is>
          <t>[RASCUNHO] O texto do prompt dentro de input() e impresso na saida, incompatibilizando com o gabarito esperado</t>
        </is>
      </c>
      <c r="N22" s="2">
        <f>IF(AND(H22&lt;&gt;"",K22&lt;&gt;""),IF(H22=K22,1,0),"")</f>
        <v/>
      </c>
      <c r="O22" s="5" t="n"/>
      <c r="P22" s="5" t="n"/>
      <c r="Q22" s="5" t="n"/>
      <c r="R22" s="5" t="n"/>
      <c r="S22" s="5" t="n"/>
      <c r="T22" s="2" t="n"/>
    </row>
    <row r="23" ht="293.25" customHeight="1">
      <c r="A23" s="2" t="n">
        <v>1828</v>
      </c>
      <c r="B23" s="2" t="n">
        <v>1</v>
      </c>
      <c r="C23" s="2" t="n">
        <v>3</v>
      </c>
      <c r="D23" s="2" t="inlineStr">
        <is>
          <t>Accepted</t>
        </is>
      </c>
      <c r="E23" s="2" t="inlineStr">
        <is>
          <t># -*- coding: utf-8 -*-
T = int(input())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.format(c))
        else:
            print("Caso #{}: Raj trapaceou!" .format(c))</t>
        </is>
      </c>
      <c r="F23" s="3" t="b">
        <v>0</v>
      </c>
      <c r="G23" s="3" t="n">
        <v>12</v>
      </c>
      <c r="H23" s="3" t="inlineStr">
        <is>
          <t>Lógica</t>
        </is>
      </c>
      <c r="I23" s="3" t="inlineStr">
        <is>
          <t>Sua estrutura lógica para resolver as regras do jogo está excelente! Contudo, em Python, a comparação de textos é sensível a letras maiúsculas e minúsculas, o que faz seu programa errar em casos específicos.</t>
        </is>
      </c>
      <c r="J23" s="3" t="inlineStr">
        <is>
          <t>O que acontece se você rodar o seu código digitando a entrada '1' e depois 'spock papel'? Qual saída seu programa gera em comparação com a saída esperada?</t>
        </is>
      </c>
      <c r="K23" s="4" t="inlineStr">
        <is>
          <t>Nenhum (código correto)</t>
        </is>
      </c>
      <c r="L23" s="4" t="n"/>
      <c r="M23" s="4" t="inlineStr">
        <is>
          <t>[RASCUNHO] Accepted</t>
        </is>
      </c>
      <c r="N23" s="2">
        <f>IF(AND(H23&lt;&gt;"",K23&lt;&gt;""),IF(H23=K23,1,0),"")</f>
        <v/>
      </c>
      <c r="O23" s="5" t="n"/>
      <c r="P23" s="5" t="n"/>
      <c r="Q23" s="5" t="n"/>
      <c r="R23" s="5" t="n"/>
      <c r="S23" s="5" t="n"/>
      <c r="T23" s="2" t="n"/>
    </row>
    <row r="24" ht="409.5" customHeight="1">
      <c r="A24" s="2" t="n">
        <v>1828</v>
      </c>
      <c r="B24" s="2" t="n">
        <v>2</v>
      </c>
      <c r="C24" s="2" t="n">
        <v>1</v>
      </c>
      <c r="D24" s="2" t="inlineStr">
        <is>
          <t>Runtime error</t>
        </is>
      </c>
      <c r="E24" s="2" t="inlineStr">
        <is>
          <t>t = int(input())
if t &lt;= 100:
    for caso in range(1, t + 1):
        escolha_sheldon, escolha_raj = input().split()
         if (
        (escolha_sheldon == "tesoura" and escolha_raj == "papel") or
        (escolha_sheldon == "papel" and escolha_raj == "pedra") or
        (escolha_sheldon == "pedra" and escolha_raj == "lagarto") or
        (escolha_sheldon == "lagarto" and escolha_raj == "Spock") or
        (escolha_sheldon == "Spock" and escolha_raj == "tesoura") or
        (escolha_sheldon == "tesoura" and escolha_raj == "lagarto") or
        (escolha_sheldon == "lagarto" and escolha_raj == "papel") or
        (escolha_sheldon == "papel" and escolha_raj == "Spock") or
        (escolha_sheldon == "Spock" and escolha_raj == "pedra") or
        (escolha_sheldon == "pedra" and escolha_raj == "tesoura")
    ):
        resultado = "Bazinga!"
    elif escolha_sheldon == escolha_raj:
        resultado = "De novo!"
    else:
        resultado = "Raj trapaceou!"
    print('Caso #{}: {}'.format(caso, resultado))</t>
        </is>
      </c>
      <c r="F24" s="3" t="b">
        <v>0</v>
      </c>
      <c r="G24" s="3" t="n">
        <v>7</v>
      </c>
      <c r="H24" s="3" t="inlineStr">
        <is>
          <t>Sintaxe</t>
        </is>
      </c>
      <c r="I24" s="3" t="inlineStr">
        <is>
          <t>O Python é muito rigoroso com a organização visual do código. O interpretador não conseguiu executar o programa porque encontrou uma inconsistência no alinhamento das instruções dentro do seu bloco de repetição.</t>
        </is>
      </c>
      <c r="J24" s="3" t="inlineStr">
        <is>
          <t>Compare o início da linha onde você faz a leitura das variáveis (linha 5) com o início da linha onde começa o comando 'if' (linha 7). A quantidade de espaços antes da primeira letra é exatamente a mesma nas duas linhas?</t>
        </is>
      </c>
      <c r="K24" s="4" t="inlineStr">
        <is>
          <t>Sintaxe</t>
        </is>
      </c>
      <c r="L24" s="4" t="n">
        <v>7</v>
      </c>
      <c r="M24" s="4" t="inlineStr">
        <is>
          <t>[RASCUNHO] Indentacao inconsistente do bloco if (IndentationError)</t>
        </is>
      </c>
      <c r="N24" s="2">
        <f>IF(AND(H24&lt;&gt;"",K24&lt;&gt;""),IF(H24=K24,1,0),"")</f>
        <v/>
      </c>
      <c r="O24" s="5" t="n"/>
      <c r="P24" s="5" t="n"/>
      <c r="Q24" s="5" t="n"/>
      <c r="R24" s="5" t="n"/>
      <c r="S24" s="5" t="n"/>
      <c r="T24" s="2" t="n"/>
    </row>
    <row r="25" ht="409.5" customHeight="1">
      <c r="A25" s="2" t="n">
        <v>1828</v>
      </c>
      <c r="B25" s="2" t="n">
        <v>2</v>
      </c>
      <c r="C25" s="2" t="n">
        <v>2</v>
      </c>
      <c r="D25" s="2" t="inlineStr">
        <is>
          <t>Wrong answer (100%)</t>
        </is>
      </c>
      <c r="E25" s="2" t="inlineStr">
        <is>
          <t>t = int(input())
if t &lt;= 100:
    for caso in range(1, t + 1):
        escolha_sheldon, escolha_raj = input().split()
    if (
        (escolha_sheldon == "tesoura" and escolha_raj == "papel") or
        (escolha_sheldon == "papel" and escolha_raj == "pedra") or
        (escolha_sheldon == "pedra" and escolha_raj == "lagarto") or
        (escolha_sheldon == "lagarto" and escolha_raj == "Spock") or
        (escolha_sheldon == "Spock" and escolha_raj == "tesoura") or
        (escolha_sheldon == "tesoura" and escolha_raj == "lagarto") or
        (escolha_sheldon == "lagarto" and escolha_raj == "papel") or
        (escolha_sheldon == "papel" and escolha_raj == "Spock") or
        (escolha_sheldon == "Spock" and escolha_raj == "pedra") or
        (escolha_sheldon == "pedra" and escolha_raj == "tesoura")
    ):
        resultado = "Bazinga!"
    elif escolha_sheldon == escolha_raj:
        resultado = "De novo!"
    else:
        resultado = "Raj trapaceou!"
    print('Caso #{}: {}'.format(caso, resultado))</t>
        </is>
      </c>
      <c r="F25" s="3" t="n"/>
      <c r="G25" s="3" t="n"/>
      <c r="H25" s="3" t="n"/>
      <c r="I25" s="3" t="n"/>
      <c r="J25" s="3" t="n"/>
      <c r="K25" s="4" t="inlineStr">
        <is>
          <t>Lógica</t>
        </is>
      </c>
      <c r="L25" s="4" t="n">
        <v>7</v>
      </c>
      <c r="M25" s="4" t="inlineStr">
        <is>
          <t>[RASCUNHO] Bloco if/print desindentado ficou fora do for -- so processa o ultimo caso</t>
        </is>
      </c>
      <c r="N25" s="2">
        <f>IF(AND(H25&lt;&gt;"",K25&lt;&gt;""),IF(H25=K25,1,0),"")</f>
        <v/>
      </c>
      <c r="O25" s="5" t="n"/>
      <c r="P25" s="5" t="n"/>
      <c r="Q25" s="5" t="n"/>
      <c r="R25" s="5" t="n"/>
      <c r="S25" s="5" t="n"/>
      <c r="T25" s="2" t="n"/>
    </row>
    <row r="26" ht="409.5" customHeight="1">
      <c r="A26" s="2" t="n">
        <v>1828</v>
      </c>
      <c r="B26" s="2" t="n">
        <v>2</v>
      </c>
      <c r="C26" s="2" t="n">
        <v>3</v>
      </c>
      <c r="D26" s="2" t="inlineStr">
        <is>
          <t>Accepted</t>
        </is>
      </c>
      <c r="E26" s="2" t="inlineStr">
        <is>
          <t>t = int(input())
if t &lt;= 100:
    for caso in range(1, t + 1):
        escolha_sheldon, escolha_raj = input().split()
        if (
            (escolha_sheldon == "tesoura" and escolha_raj == "papel") or
            (escolha_sheldon == "papel" and escolha_raj == "pedra") or
            (escolha_sheldon == "pedra" and escolha_raj == "lagarto") or
            (escolha_sheldon == "lagarto" and escolha_raj == "Spock") or
            (escolha_sheldon == "Spock" and escolha_raj == "tesoura") or
            (escolha_sheldon == "tesoura" and escolha_raj == "lagarto") or
            (escolha_sheldon == "lagarto" and escolha_raj == "papel") or
            (escolha_sheldon == "papel" and escolha_raj == "Spock") or
            (escolha_sheldon == "Spock" and escolha_raj == "pedra") or
            (escolha_sheldon == "pedra" and escolha_raj == "tesoura")
        ):
            resultado = "Bazinga!"
        elif escolha_sheldon == escolha_raj:
            resultado = "De novo!"
        else:
            resultado = "Raj trapaceou!"
        print('Caso #{}: {}'.format(caso, resultado))</t>
        </is>
      </c>
      <c r="F26" s="3" t="n"/>
      <c r="G26" s="3" t="n"/>
      <c r="H26" s="3" t="n"/>
      <c r="I26" s="3" t="n"/>
      <c r="J26" s="3" t="n"/>
      <c r="K26" s="4" t="inlineStr">
        <is>
          <t>Nenhum (código correto)</t>
        </is>
      </c>
      <c r="L26" s="4" t="n"/>
      <c r="M26" s="4" t="inlineStr">
        <is>
          <t>[RASCUNHO] Accepted</t>
        </is>
      </c>
      <c r="N26" s="2">
        <f>IF(AND(H26&lt;&gt;"",K26&lt;&gt;""),IF(H26=K26,1,0),"")</f>
        <v/>
      </c>
      <c r="O26" s="5" t="n"/>
      <c r="P26" s="5" t="n"/>
      <c r="Q26" s="5" t="n"/>
      <c r="R26" s="5" t="n"/>
      <c r="S26" s="5" t="n"/>
      <c r="T26" s="2" t="n"/>
    </row>
    <row r="27" ht="242.25" customHeight="1">
      <c r="A27" s="2" t="n">
        <v>1828</v>
      </c>
      <c r="B27" s="2" t="n">
        <v>3</v>
      </c>
      <c r="C27" s="2" t="n">
        <v>1</v>
      </c>
      <c r="D27" s="2" t="inlineStr">
        <is>
          <t>Accepted</t>
        </is>
      </c>
      <c r="E27" s="2" t="inlineStr">
        <is>
          <t>def vence(sheldon, rajesh):
    regras = {
        'tesoura': ['papel', 'lagarto'],
        'papel': ['pedra', 'Spock'],
        'pedra': ['lagarto', 'tesoura'],
        'lagarto': ['Spock', 'papel'],
        'Spock': ['tesoura', 'pedra']
    }
    if sheldon == rajesh:
        return 'De novo!'
    elif rajesh in regras[sheldon]:
        return 'Bazinga!'
    else:
        return 'Raj trapaceou!'
T = int(input())
for caso in range(1, T+1):
    sheldon, rajesh = input().split()
    resultado = vence(sheldon, rajesh)
    print('Caso #{}: {}'.format(caso, resultado))</t>
        </is>
      </c>
      <c r="F27" s="3" t="n"/>
      <c r="G27" s="3" t="n"/>
      <c r="H27" s="3" t="n"/>
      <c r="I27" s="3" t="n"/>
      <c r="J27" s="3" t="n"/>
      <c r="K27" s="4" t="inlineStr">
        <is>
          <t>Nenhum (código correto)</t>
        </is>
      </c>
      <c r="L27" s="4" t="n"/>
      <c r="M27" s="4" t="inlineStr">
        <is>
          <t>[RASCUNHO] Accepted</t>
        </is>
      </c>
      <c r="N27" s="2">
        <f>IF(AND(H27&lt;&gt;"",K27&lt;&gt;""),IF(H27=K27,1,0),"")</f>
        <v/>
      </c>
      <c r="O27" s="5" t="n"/>
      <c r="P27" s="5" t="n"/>
      <c r="Q27" s="5" t="n"/>
      <c r="R27" s="5" t="n"/>
      <c r="S27" s="5" t="n"/>
      <c r="T27" s="2" t="n"/>
    </row>
    <row r="28" ht="267.75" customHeight="1">
      <c r="A28" s="2" t="n">
        <v>1873</v>
      </c>
      <c r="B28" s="2" t="n">
        <v>1</v>
      </c>
      <c r="C28" s="2" t="n">
        <v>1</v>
      </c>
      <c r="D28" s="2" t="inlineStr">
        <is>
          <t>Runtime error</t>
        </is>
      </c>
      <c r="E28" s="2" t="inlineStr">
        <is>
      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
        print('sheldon')
    else:
        print('rajesh')</t>
        </is>
      </c>
      <c r="F28" s="3" t="n"/>
      <c r="G28" s="3" t="n"/>
      <c r="H28" s="3" t="n"/>
      <c r="I28" s="3" t="n"/>
      <c r="J28" s="3" t="n"/>
      <c r="K28" s="4" t="inlineStr">
        <is>
          <t>Sintaxe</t>
        </is>
      </c>
      <c r="L28" s="4" t="n">
        <v>13</v>
      </c>
      <c r="M28" s="4" t="inlineStr">
        <is>
          <t>[RASCUNHO] Falta ':' no final da condicao elif</t>
        </is>
      </c>
      <c r="N28" s="2">
        <f>IF(AND(H28&lt;&gt;"",K28&lt;&gt;""),IF(H28=K28,1,0),"")</f>
        <v/>
      </c>
      <c r="O28" s="5" t="n"/>
      <c r="P28" s="5" t="n"/>
      <c r="Q28" s="5" t="n"/>
      <c r="R28" s="5" t="n"/>
      <c r="S28" s="5" t="n"/>
      <c r="T28" s="2" t="n"/>
    </row>
    <row r="29" ht="267.75" customHeight="1">
      <c r="A29" s="2" t="n">
        <v>1873</v>
      </c>
      <c r="B29" s="2" t="n">
        <v>1</v>
      </c>
      <c r="C29" s="2" t="n">
        <v>2</v>
      </c>
      <c r="D29" s="2" t="inlineStr">
        <is>
          <t>Wrong answer (25%)</t>
        </is>
      </c>
      <c r="E29" s="2" t="inlineStr">
        <is>
      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else:
        print('rajesh')</t>
        </is>
      </c>
      <c r="F29" s="3" t="n"/>
      <c r="G29" s="3" t="n"/>
      <c r="H29" s="3" t="n"/>
      <c r="I29" s="3" t="n"/>
      <c r="J29" s="3" t="n"/>
      <c r="K29" s="4" t="inlineStr">
        <is>
          <t>Lógica</t>
        </is>
      </c>
      <c r="L29" s="4" t="n">
        <v>6</v>
      </c>
      <c r="M29" s="4" t="inlineStr">
        <is>
          <t>[RASCUNHO] Ordem de leitura trocada: le 'sheldon, rajesh' mas o enunciado pede rajesh antes -- inverte o vencedor</t>
        </is>
      </c>
      <c r="N29" s="2">
        <f>IF(AND(H29&lt;&gt;"",K29&lt;&gt;""),IF(H29=K29,1,0),"")</f>
        <v/>
      </c>
      <c r="O29" s="5" t="n"/>
      <c r="P29" s="5" t="n"/>
      <c r="Q29" s="5" t="n"/>
      <c r="R29" s="5" t="n"/>
      <c r="S29" s="5" t="n"/>
      <c r="T29" s="2" t="n"/>
    </row>
    <row r="30" ht="382.5" customHeight="1">
      <c r="A30" s="2" t="n">
        <v>1873</v>
      </c>
      <c r="B30" s="2" t="n">
        <v>1</v>
      </c>
      <c r="C30" s="2" t="n">
        <v>3</v>
      </c>
      <c r="D30" s="2" t="inlineStr">
        <is>
          <t>Wrong answer (25%)</t>
        </is>
      </c>
      <c r="E30" s="2" t="inlineStr">
        <is>
      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elif (rajesh == 'tesoura' and (sheldon == 'papel' or sheldon == 'lagarto')) or \
    (rajesh == 'papel' and (sheldon == 'pedra' or sheldon == 'spock')) or \
    (rajesh == 'pedra' and (sheldon == 'lagarto' or sheldon == 'tesoura')) or \
    (rajesh == 'lagarto' and (sheldon == 'spock' or sheldon == 'papel')) or \
    (rajesh == 'spock' and (sheldon == 'tesoura' or sheldon == 'pedra')):
        print('sheldon')</t>
        </is>
      </c>
      <c r="F30" s="3" t="n"/>
      <c r="G30" s="3" t="n"/>
      <c r="H30" s="3" t="n"/>
      <c r="I30" s="3" t="n"/>
      <c r="J30" s="3" t="n"/>
      <c r="K30" s="4" t="inlineStr">
        <is>
          <t>Lógica</t>
        </is>
      </c>
      <c r="L30" s="4" t="n">
        <v>20</v>
      </c>
      <c r="M30" s="4" t="inlineStr">
        <is>
          <t>[RASCUNHO] No segundo elif (quando rajesh vence), o codigo imprime 'sheldon' em vez de 'rajesh' (copia-e-cola)</t>
        </is>
      </c>
      <c r="N30" s="2">
        <f>IF(AND(H30&lt;&gt;"",K30&lt;&gt;""),IF(H30=K30,1,0),"")</f>
        <v/>
      </c>
      <c r="O30" s="5" t="n"/>
      <c r="P30" s="5" t="n"/>
      <c r="Q30" s="5" t="n"/>
      <c r="R30" s="5" t="n"/>
      <c r="S30" s="5" t="n"/>
      <c r="T30" s="2" t="n"/>
    </row>
    <row r="31" ht="382.5" customHeight="1">
      <c r="A31" s="2" t="n">
        <v>1873</v>
      </c>
      <c r="B31" s="2" t="n">
        <v>1</v>
      </c>
      <c r="C31" s="2" t="n">
        <v>4</v>
      </c>
      <c r="D31" s="2" t="inlineStr">
        <is>
          <t>Wrong answer (25%)</t>
        </is>
      </c>
      <c r="E31" s="2" t="inlineStr">
        <is>
      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elif (rajesh == 'tesoura' and (sheldon == 'papel' or sheldon == 'lagarto')) or \
    (rajesh == 'papel' and (sheldon == 'pedra' or sheldon == 'spock')) or \
    (rajesh == 'pedra' and (sheldon == 'lagarto' or sheldon == 'tesoura')) or \
    (rajesh == 'lagarto' and (sheldon == 'spock' or sheldon == 'papel')) or \
    (rajesh == 'spock' and (sheldon == 'tesoura' or sheldon == 'pedra')):
        print('rajesh')</t>
        </is>
      </c>
      <c r="F31" s="3" t="n"/>
      <c r="G31" s="3" t="n"/>
      <c r="H31" s="3" t="n"/>
      <c r="I31" s="3" t="n"/>
      <c r="J31" s="3" t="n"/>
      <c r="K31" s="4" t="inlineStr">
        <is>
          <t>Lógica</t>
        </is>
      </c>
      <c r="L31" s="4" t="n">
        <v>6</v>
      </c>
      <c r="M31" s="4" t="inlineStr">
        <is>
          <t>[RASCUNHO] Ainda nao corrigiu a ordem de leitura -- deveria ser (rajesh, sheldon)</t>
        </is>
      </c>
      <c r="N31" s="2">
        <f>IF(AND(H31&lt;&gt;"",K31&lt;&gt;""),IF(H31=K31,1,0),"")</f>
        <v/>
      </c>
      <c r="O31" s="5" t="n"/>
      <c r="P31" s="5" t="n"/>
      <c r="Q31" s="5" t="n"/>
      <c r="R31" s="5" t="n"/>
      <c r="S31" s="5" t="n"/>
      <c r="T31" s="2" t="n"/>
    </row>
    <row r="32" ht="318.75" customHeight="1">
      <c r="A32" s="2" t="n">
        <v>1873</v>
      </c>
      <c r="B32" s="2" t="n">
        <v>1</v>
      </c>
      <c r="C32" s="2" t="n">
        <v>5</v>
      </c>
      <c r="D32" s="2" t="inlineStr">
        <is>
          <t>Runtime error</t>
        </is>
      </c>
      <c r="E32" s="2" t="inlineStr">
        <is>
          <t># -*- coding: utf-8 -*-
C = int(input())
for c in range(C):
  rajesh = str(input())
  sheldon = str(input())
  if sheldon == rajesh:
      print('empate')
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):
    print('sheldon')
  else:
      print('rajesh')</t>
        </is>
      </c>
      <c r="F32" s="3" t="n"/>
      <c r="G32" s="3" t="n"/>
      <c r="H32" s="3" t="n"/>
      <c r="I32" s="3" t="n"/>
      <c r="J32" s="3" t="n"/>
      <c r="K32" s="4" t="inlineStr">
        <is>
          <t>Execução</t>
        </is>
      </c>
      <c r="L32" s="4" t="n">
        <v>6</v>
      </c>
      <c r="M32" s="4" t="inlineStr">
        <is>
          <t>[RASCUNHO] Usa duas chamadas de input() separadas em vez de split() -- desalinha as entradas seguintes</t>
        </is>
      </c>
      <c r="N32" s="2">
        <f>IF(AND(H32&lt;&gt;"",K32&lt;&gt;""),IF(H32=K32,1,0),"")</f>
        <v/>
      </c>
      <c r="O32" s="5" t="n"/>
      <c r="P32" s="5" t="n"/>
      <c r="Q32" s="5" t="n"/>
      <c r="R32" s="5" t="n"/>
      <c r="S32" s="5" t="n"/>
      <c r="T32" s="2" t="n"/>
    </row>
    <row r="33" ht="306" customHeight="1">
      <c r="A33" s="2" t="n">
        <v>1873</v>
      </c>
      <c r="B33" s="2" t="n">
        <v>1</v>
      </c>
      <c r="C33" s="2" t="n">
        <v>6</v>
      </c>
      <c r="D33" s="2" t="inlineStr">
        <is>
          <t>Runtime error</t>
        </is>
      </c>
      <c r="E33" s="2" t="inlineStr">
        <is>
          <t># -*- coding: utf-8 -*-
C = int(input())
for c in range(C):
  rajesh, sheldon = map(str, (input().split())
  if sheldon == rajesh:
      print('empate')
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):
    print('sheldon')
  else:
      print('rajesh')</t>
        </is>
      </c>
      <c r="F33" s="3" t="n"/>
      <c r="G33" s="3" t="n"/>
      <c r="H33" s="3" t="n"/>
      <c r="I33" s="3" t="n"/>
      <c r="J33" s="3" t="n"/>
      <c r="K33" s="4" t="inlineStr">
        <is>
          <t>Sintaxe</t>
        </is>
      </c>
      <c r="L33" s="4" t="n">
        <v>6</v>
      </c>
      <c r="M33" s="4" t="inlineStr">
        <is>
          <t>[RASCUNHO] Parenteses desbalanceados em map() (falta um ')')</t>
        </is>
      </c>
      <c r="N33" s="2">
        <f>IF(AND(H33&lt;&gt;"",K33&lt;&gt;""),IF(H33=K33,1,0),"")</f>
        <v/>
      </c>
      <c r="O33" s="5" t="n"/>
      <c r="P33" s="5" t="n"/>
      <c r="Q33" s="5" t="n"/>
      <c r="R33" s="5" t="n"/>
      <c r="S33" s="5" t="n"/>
      <c r="T33" s="2" t="n"/>
    </row>
    <row r="34" ht="306" customHeight="1">
      <c r="A34" s="2" t="n">
        <v>1873</v>
      </c>
      <c r="B34" s="2" t="n">
        <v>1</v>
      </c>
      <c r="C34" s="2" t="n">
        <v>7</v>
      </c>
      <c r="D34" s="2" t="inlineStr">
        <is>
          <t>Runtime error</t>
        </is>
      </c>
      <c r="E34" s="2" t="inlineStr">
        <is>
          <t># -*- coding: utf-8 -*-
C = int(input())
for c in range(C):
    rajesh, sheldon = map(str, (input().split())
    if sheldon == rajesh:
        print('empate')
  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  ):
        print('sheldon')
    else:
        print('rajesh')</t>
        </is>
      </c>
      <c r="F34" s="3" t="n"/>
      <c r="G34" s="3" t="n"/>
      <c r="H34" s="3" t="n"/>
      <c r="I34" s="3" t="n"/>
      <c r="J34" s="3" t="n"/>
      <c r="K34" s="4" t="inlineStr">
        <is>
          <t>Sintaxe</t>
        </is>
      </c>
      <c r="L34" s="4" t="n">
        <v>6</v>
      </c>
      <c r="M34" s="4" t="inlineStr">
        <is>
          <t>[RASCUNHO] Mesmo erro de parenteses desbalanceados em map()</t>
        </is>
      </c>
      <c r="N34" s="2">
        <f>IF(AND(H34&lt;&gt;"",K34&lt;&gt;""),IF(H34=K34,1,0),"")</f>
        <v/>
      </c>
      <c r="O34" s="5" t="n"/>
      <c r="P34" s="5" t="n"/>
      <c r="Q34" s="5" t="n"/>
      <c r="R34" s="5" t="n"/>
      <c r="S34" s="5" t="n"/>
      <c r="T34" s="2" t="n"/>
    </row>
    <row r="35" ht="306" customHeight="1">
      <c r="A35" s="2" t="n">
        <v>1873</v>
      </c>
      <c r="B35" s="2" t="n">
        <v>1</v>
      </c>
      <c r="C35" s="2" t="n">
        <v>8</v>
      </c>
      <c r="D35" s="2" t="inlineStr">
        <is>
          <t>Accepted</t>
        </is>
      </c>
      <c r="E35" s="2" t="inlineStr">
        <is>
          <t># -*- coding: utf-8 -*-
C = int(input())
for c in range(C):
    rajesh, sheldon = map(str, input().split())
    if sheldon == rajesh:
        print('empate')
  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  ):
        print('sheldon')
    else:
        print('rajesh')</t>
        </is>
      </c>
      <c r="F35" s="3" t="n"/>
      <c r="G35" s="3" t="n"/>
      <c r="H35" s="3" t="n"/>
      <c r="I35" s="3" t="n"/>
      <c r="J35" s="3" t="n"/>
      <c r="K35" s="4" t="inlineStr">
        <is>
          <t>Nenhum (código correto)</t>
        </is>
      </c>
      <c r="L35" s="4" t="n"/>
      <c r="M35" s="4" t="inlineStr">
        <is>
          <t>[RASCUNHO] Accepted</t>
        </is>
      </c>
      <c r="N35" s="2">
        <f>IF(AND(H35&lt;&gt;"",K35&lt;&gt;""),IF(H35=K35,1,0),"")</f>
        <v/>
      </c>
      <c r="O35" s="5" t="n"/>
      <c r="P35" s="5" t="n"/>
      <c r="Q35" s="5" t="n"/>
      <c r="R35" s="5" t="n"/>
      <c r="S35" s="5" t="n"/>
      <c r="T35" s="2" t="n"/>
    </row>
    <row r="36" ht="318.75" customHeight="1">
      <c r="A36" s="2" t="n">
        <v>1873</v>
      </c>
      <c r="B36" s="2" t="n">
        <v>2</v>
      </c>
      <c r="C36" s="2" t="n">
        <v>1</v>
      </c>
      <c r="D36" s="2" t="inlineStr">
        <is>
          <t>Runtime error</t>
        </is>
      </c>
      <c r="E36" s="2" t="inlineStr">
        <is>
          <t>C = int(input())
regras = {
    "tesoura": ["papel", "lagarto"],
    "papel": ["pedra", "Spock"],
    "pedra": ["lagarto", "tesoura"],
    "lagarto": ["Spock", "papel"],
    "Spock": ["tesoura", "pedra"]
}
de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      </is>
      </c>
      <c r="F36" s="3" t="n"/>
      <c r="G36" s="3" t="n"/>
      <c r="H36" s="3" t="n"/>
      <c r="I36" s="3" t="n"/>
      <c r="J36" s="3" t="n"/>
      <c r="K36" s="4" t="inlineStr">
        <is>
          <t>Sintaxe</t>
        </is>
      </c>
      <c r="L36" s="4" t="n">
        <v>11</v>
      </c>
      <c r="M36" s="4" t="inlineStr">
        <is>
          <t>[RASCUNHO] 'de' deveria ser 'def' -- erro de digitacao na definicao da funcao</t>
        </is>
      </c>
      <c r="N36" s="2">
        <f>IF(AND(H36&lt;&gt;"",K36&lt;&gt;""),IF(H36=K36,1,0),"")</f>
        <v/>
      </c>
      <c r="O36" s="5" t="n"/>
      <c r="P36" s="5" t="n"/>
      <c r="Q36" s="5" t="n"/>
      <c r="R36" s="5" t="n"/>
      <c r="S36" s="5" t="n"/>
      <c r="T36" s="2" t="n"/>
    </row>
    <row r="37" ht="318.75" customHeight="1">
      <c r="A37" s="2" t="n">
        <v>1873</v>
      </c>
      <c r="B37" s="2" t="n">
        <v>2</v>
      </c>
      <c r="C37" s="2" t="n">
        <v>2</v>
      </c>
      <c r="D37" s="2" t="inlineStr">
        <is>
          <t>Runtime error</t>
        </is>
      </c>
      <c r="E37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prit(resultado)</t>
        </is>
      </c>
      <c r="F37" s="3" t="n"/>
      <c r="G37" s="3" t="n"/>
      <c r="H37" s="3" t="n"/>
      <c r="I37" s="3" t="n"/>
      <c r="J37" s="3" t="n"/>
      <c r="K37" s="4" t="inlineStr">
        <is>
          <t>Execução</t>
        </is>
      </c>
      <c r="L37" s="4" t="n">
        <v>24</v>
      </c>
      <c r="M37" s="4" t="inlineStr">
        <is>
          <t>[RASCUNHO] 'prit' deveria ser 'print' (NameError)</t>
        </is>
      </c>
      <c r="N37" s="2">
        <f>IF(AND(H37&lt;&gt;"",K37&lt;&gt;""),IF(H37=K37,1,0),"")</f>
        <v/>
      </c>
      <c r="O37" s="5" t="n"/>
      <c r="P37" s="5" t="n"/>
      <c r="Q37" s="5" t="n"/>
      <c r="R37" s="5" t="n"/>
      <c r="S37" s="5" t="n"/>
      <c r="T37" s="2" t="n"/>
    </row>
    <row r="38" ht="318.75" customHeight="1">
      <c r="A38" s="2" t="n">
        <v>1873</v>
      </c>
      <c r="B38" s="2" t="n">
        <v>2</v>
      </c>
      <c r="C38" s="2" t="n">
        <v>3</v>
      </c>
      <c r="D38" s="2" t="inlineStr">
        <is>
          <t>Wrong answer (10%)</t>
        </is>
      </c>
      <c r="E38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      </is>
      </c>
      <c r="F38" s="3" t="n"/>
      <c r="G38" s="3" t="n"/>
      <c r="H38" s="3" t="n"/>
      <c r="I38" s="3" t="n"/>
      <c r="J38" s="3" t="n"/>
      <c r="K38" s="4" t="inlineStr">
        <is>
          <t>Lógica</t>
        </is>
      </c>
      <c r="L38" s="4" t="n">
        <v>5</v>
      </c>
      <c r="M38" s="4" t="inlineStr">
        <is>
          <t>[RASCUNHO] Inconsistencia de maiusculas/minusculas em 'Spock' no dicionario nao bate com a entrada em minusculas</t>
        </is>
      </c>
      <c r="N38" s="2">
        <f>IF(AND(H38&lt;&gt;"",K38&lt;&gt;""),IF(H38=K38,1,0),"")</f>
        <v/>
      </c>
      <c r="O38" s="5" t="n"/>
      <c r="P38" s="5" t="n"/>
      <c r="Q38" s="5" t="n"/>
      <c r="R38" s="5" t="n"/>
      <c r="S38" s="5" t="n"/>
      <c r="T38" s="2" t="n"/>
    </row>
    <row r="39" ht="318.75" customHeight="1">
      <c r="A39" s="2" t="n">
        <v>1873</v>
      </c>
      <c r="B39" s="2" t="n">
        <v>2</v>
      </c>
      <c r="C39" s="2" t="n">
        <v>4</v>
      </c>
      <c r="D39" s="2" t="inlineStr">
        <is>
          <t>Wrong answer (10%)</t>
        </is>
      </c>
      <c r="E39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input().lower().split()
    resultado = determinar_vencedor(escolha_raj, escolha_sheldon)
    print(resultado)</t>
        </is>
      </c>
      <c r="F39" s="3" t="n"/>
      <c r="G39" s="3" t="n"/>
      <c r="H39" s="3" t="n"/>
      <c r="I39" s="3" t="n"/>
      <c r="J39" s="3" t="n"/>
      <c r="K39" s="4" t="inlineStr">
        <is>
          <t>Lógica</t>
        </is>
      </c>
      <c r="L39" s="4" t="n">
        <v>5</v>
      </c>
      <c r="M39" s="4" t="inlineStr">
        <is>
          <t>[RASCUNHO] Mesmo problema de capitalizacao de 'Spock', mesmo apos normalizar a entrada com .lower()</t>
        </is>
      </c>
      <c r="N39" s="2">
        <f>IF(AND(H39&lt;&gt;"",K39&lt;&gt;""),IF(H39=K39,1,0),"")</f>
        <v/>
      </c>
      <c r="O39" s="5" t="n"/>
      <c r="P39" s="5" t="n"/>
      <c r="Q39" s="5" t="n"/>
      <c r="R39" s="5" t="n"/>
      <c r="S39" s="5" t="n"/>
      <c r="T39" s="2" t="n"/>
    </row>
    <row r="40" ht="318.75" customHeight="1">
      <c r="A40" s="2" t="n">
        <v>1873</v>
      </c>
      <c r="B40" s="2" t="n">
        <v>2</v>
      </c>
      <c r="C40" s="2" t="n">
        <v>5</v>
      </c>
      <c r="D40" s="2" t="inlineStr">
        <is>
          <t>Wrong answer (10%)</t>
        </is>
      </c>
      <c r="E40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      </is>
      </c>
      <c r="F40" s="3" t="n"/>
      <c r="G40" s="3" t="n"/>
      <c r="H40" s="3" t="n"/>
      <c r="I40" s="3" t="n"/>
      <c r="J40" s="3" t="n"/>
      <c r="K40" s="4" t="inlineStr">
        <is>
          <t>Lógica</t>
        </is>
      </c>
      <c r="L40" s="4" t="n">
        <v>5</v>
      </c>
      <c r="M40" s="4" t="inlineStr">
        <is>
          <t>[RASCUNHO] Mesmo problema de capitalizacao de 'Spock' (regrediu a normalizacao)</t>
        </is>
      </c>
      <c r="N40" s="2">
        <f>IF(AND(H40&lt;&gt;"",K40&lt;&gt;""),IF(H40=K40,1,0),"")</f>
        <v/>
      </c>
      <c r="O40" s="5" t="n"/>
      <c r="P40" s="5" t="n"/>
      <c r="Q40" s="5" t="n"/>
      <c r="R40" s="5" t="n"/>
      <c r="S40" s="5" t="n"/>
      <c r="T40" s="2" t="n"/>
    </row>
    <row r="41" ht="318.75" customHeight="1">
      <c r="A41" s="2" t="n">
        <v>1873</v>
      </c>
      <c r="B41" s="2" t="n">
        <v>2</v>
      </c>
      <c r="C41" s="2" t="n">
        <v>6</v>
      </c>
      <c r="D41" s="2" t="inlineStr">
        <is>
          <t>Wrong answer (10%)</t>
        </is>
      </c>
      <c r="E41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input().lower().split()
    resultado = determinar_vencedor(escolha_raj, escolha_sheldon)
    print(resultado)</t>
        </is>
      </c>
      <c r="F41" s="3" t="n"/>
      <c r="G41" s="3" t="n"/>
      <c r="H41" s="3" t="n"/>
      <c r="I41" s="3" t="n"/>
      <c r="J41" s="3" t="n"/>
      <c r="K41" s="4" t="inlineStr">
        <is>
          <t>Lógica</t>
        </is>
      </c>
      <c r="L41" s="4" t="n">
        <v>5</v>
      </c>
      <c r="M41" s="4" t="inlineStr">
        <is>
          <t>[RASCUNHO] Mesmo problema de capitalizacao de 'Spock' no dicionario</t>
        </is>
      </c>
      <c r="N41" s="2">
        <f>IF(AND(H41&lt;&gt;"",K41&lt;&gt;""),IF(H41=K41,1,0),"")</f>
        <v/>
      </c>
      <c r="O41" s="5" t="n"/>
      <c r="P41" s="5" t="n"/>
      <c r="Q41" s="5" t="n"/>
      <c r="R41" s="5" t="n"/>
      <c r="S41" s="5" t="n"/>
      <c r="T41" s="2" t="n"/>
    </row>
    <row r="42" ht="318.75" customHeight="1">
      <c r="A42" s="2" t="n">
        <v>1873</v>
      </c>
      <c r="B42" s="2" t="n">
        <v>2</v>
      </c>
      <c r="C42" s="2" t="n">
        <v>7</v>
      </c>
      <c r="D42" s="2" t="inlineStr">
        <is>
          <t>Wrong answer (10%)</t>
        </is>
      </c>
      <c r="E42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      </is>
      </c>
      <c r="F42" s="3" t="n"/>
      <c r="G42" s="3" t="n"/>
      <c r="H42" s="3" t="n"/>
      <c r="I42" s="3" t="n"/>
      <c r="J42" s="3" t="n"/>
      <c r="K42" s="4" t="inlineStr">
        <is>
          <t>Lógica</t>
        </is>
      </c>
      <c r="L42" s="4" t="n">
        <v>5</v>
      </c>
      <c r="M42" s="4" t="inlineStr">
        <is>
          <t>[RASCUNHO] Mesmo problema de capitalizacao de 'Spock' no dicionario</t>
        </is>
      </c>
      <c r="N42" s="2">
        <f>IF(AND(H42&lt;&gt;"",K42&lt;&gt;""),IF(H42=K42,1,0),"")</f>
        <v/>
      </c>
      <c r="O42" s="5" t="n"/>
      <c r="P42" s="5" t="n"/>
      <c r="Q42" s="5" t="n"/>
      <c r="R42" s="5" t="n"/>
      <c r="S42" s="5" t="n"/>
      <c r="T42" s="2" t="inlineStr">
        <is>
          <t>[RASCUNHO] Casos 3-7 (aluno 2): mesma causa raiz persistindo -- bom exemplo para checar se o Gemini identifica o erro repetido de forma consistente. [RASCUNHO] Casos 3-7 (aluno 2): mesma causa raiz persistindo -- bom exemplo para checar se o Gemini identifica o erro repetido de forma consistente.</t>
        </is>
      </c>
    </row>
    <row r="43" ht="318.75" customHeight="1">
      <c r="A43" s="2" t="n">
        <v>1873</v>
      </c>
      <c r="B43" s="2" t="n">
        <v>2</v>
      </c>
      <c r="C43" s="2" t="n">
        <v>8</v>
      </c>
      <c r="D43" s="2" t="inlineStr">
        <is>
          <t>Accepted</t>
        </is>
      </c>
      <c r="E43" s="2" t="inlineStr">
        <is>
      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      </is>
      </c>
      <c r="F43" s="3" t="n"/>
      <c r="G43" s="3" t="n"/>
      <c r="H43" s="3" t="n"/>
      <c r="I43" s="3" t="n"/>
      <c r="J43" s="3" t="n"/>
      <c r="K43" s="4" t="inlineStr">
        <is>
          <t>Nenhum (código correto)</t>
        </is>
      </c>
      <c r="L43" s="4" t="n"/>
      <c r="M43" s="4" t="inlineStr">
        <is>
          <t>[RASCUNHO] Accepted</t>
        </is>
      </c>
      <c r="N43" s="2">
        <f>IF(AND(H43&lt;&gt;"",K43&lt;&gt;""),IF(H43=K43,1,0),"")</f>
        <v/>
      </c>
      <c r="O43" s="5" t="n"/>
      <c r="P43" s="5" t="n"/>
      <c r="Q43" s="5" t="n"/>
      <c r="R43" s="5" t="n"/>
      <c r="S43" s="5" t="n"/>
      <c r="T43" s="2" t="n"/>
    </row>
    <row r="44" ht="242.25" customHeight="1">
      <c r="A44" s="2" t="n">
        <v>1873</v>
      </c>
      <c r="B44" s="2" t="n">
        <v>3</v>
      </c>
      <c r="C44" s="2" t="n">
        <v>1</v>
      </c>
      <c r="D44" s="2" t="inlineStr">
        <is>
          <t>Accepted</t>
        </is>
      </c>
      <c r="E44" s="2" t="inlineStr">
        <is>
          <t>def vence(rajesh, sheldon):
    regras = {
        'tesoura': ['papel', 'lagarto'],
        'papel': ['pedra', 'spock'],
        'pedra': ['lagarto', 'tesoura'],
        'lagarto': ['spock', 'papel'],
        'spock': ['tesoura', 'pedra']
    }
    if rajesh == sheldon:
        return "empate"
    elif sheldon in regras[rajesh]:
        return "rajesh"
    else:
        return "sheldon"
C = int(input())
for _ in range(C):
    rajesh, sheldon = input().split()
    resultado = vence(rajesh, sheldon)
    print(resultado)</t>
        </is>
      </c>
      <c r="F44" s="3" t="n"/>
      <c r="G44" s="3" t="n"/>
      <c r="H44" s="3" t="n"/>
      <c r="I44" s="3" t="n"/>
      <c r="J44" s="3" t="n"/>
      <c r="K44" s="4" t="inlineStr">
        <is>
          <t>Nenhum (código correto)</t>
        </is>
      </c>
      <c r="L44" s="4" t="n"/>
      <c r="M44" s="4" t="inlineStr">
        <is>
          <t>[RASCUNHO] Accepted</t>
        </is>
      </c>
      <c r="N44" s="2">
        <f>IF(AND(H44&lt;&gt;"",K44&lt;&gt;""),IF(H44=K44,1,0),"")</f>
        <v/>
      </c>
      <c r="O44" s="5" t="n"/>
      <c r="P44" s="5" t="n"/>
      <c r="Q44" s="5" t="n"/>
      <c r="R44" s="5" t="n"/>
      <c r="S44" s="5" t="n"/>
      <c r="T44" s="2" t="n"/>
    </row>
    <row r="45" ht="153.75" customHeight="1">
      <c r="A45" s="12" t="n">
        <v>1132</v>
      </c>
      <c r="B45" t="n">
        <v>901</v>
      </c>
      <c r="C45" s="12" t="n">
        <v>1</v>
      </c>
      <c r="D45" s="12" t="inlineStr">
        <is>
          <t>Wrong answer (100%)</t>
        </is>
      </c>
      <c r="E45" s="14" t="inlineStr">
        <is>
          <t>x = int(input())
y = int(input())
if x &gt; y:
    x, y = y, x
soma = 0
for i in range(x, y + 1):
    if i % 13 == 0:
        soma += i
print(soma)</t>
        </is>
      </c>
      <c r="F45" s="3" t="n"/>
      <c r="G45" s="3" t="n"/>
      <c r="H45" s="3" t="n"/>
      <c r="I45" s="3" t="n"/>
      <c r="J45" s="3" t="n"/>
      <c r="K45" s="4" t="inlineStr">
        <is>
          <t>Lógica</t>
        </is>
      </c>
      <c r="L45" s="4" t="n">
        <v>9</v>
      </c>
      <c r="M45" s="4" t="inlineStr">
        <is>
          <t>[RASCUNHO] Inverteu a condição do módulo (usou == ao invés de !=), somando apenas os múltiplos de 13 em vez de ignorá-los.</t>
        </is>
      </c>
      <c r="O45" s="5" t="n"/>
      <c r="P45" s="5" t="n"/>
      <c r="Q45" s="5" t="n"/>
      <c r="R45" s="5" t="n"/>
      <c r="S45" s="5" t="n"/>
      <c r="T45" t="inlineStr">
        <is>
          <t>[RASCUNHO] Caso Sintético (Caso 44)</t>
        </is>
      </c>
    </row>
    <row r="46" ht="153.75" customHeight="1">
      <c r="A46" s="12" t="n">
        <v>1132</v>
      </c>
      <c r="B46" s="12" t="n">
        <v>902</v>
      </c>
      <c r="C46" s="12" t="n">
        <v>1</v>
      </c>
      <c r="D46" s="13" t="inlineStr">
        <is>
          <t>Syntax error</t>
        </is>
      </c>
      <c r="E46" s="14" t="inlineStr">
        <is>
          <t>x = int(input())
y = int(input())
if x &gt; y
    x, y = y, x
soma = 0
for i in range(x, y + 1):
    if i % 13 != 0:
        soma += i
print(soma)</t>
        </is>
      </c>
      <c r="F46" s="3" t="n"/>
      <c r="G46" s="3" t="n"/>
      <c r="H46" s="3" t="n"/>
      <c r="I46" s="3" t="n"/>
      <c r="J46" s="3" t="n"/>
      <c r="K46" s="4" t="inlineStr">
        <is>
          <t>Sintaxe</t>
        </is>
      </c>
      <c r="L46" s="4" t="n">
        <v>4</v>
      </c>
      <c r="M46" s="4" t="inlineStr">
        <is>
          <t>[RASCUNHO] Esqueceu os dois pontos ':' no final da instrução condicional 'if x &gt; y'.</t>
        </is>
      </c>
      <c r="O46" s="5" t="n"/>
      <c r="P46" s="5" t="n"/>
      <c r="Q46" s="5" t="n"/>
      <c r="R46" s="5" t="n"/>
      <c r="S46" s="5" t="n"/>
      <c r="T46" t="inlineStr">
        <is>
          <t>[RASCUNHO] Caso Sintético (Caso 45)</t>
        </is>
      </c>
    </row>
    <row r="47" ht="105" customHeight="1">
      <c r="A47" s="12" t="n">
        <v>1153</v>
      </c>
      <c r="B47" s="12" t="n">
        <v>903</v>
      </c>
      <c r="C47" s="12" t="n">
        <v>1</v>
      </c>
      <c r="D47" s="13" t="inlineStr">
        <is>
          <t>Wrong answer (100%)</t>
        </is>
      </c>
      <c r="E47" s="11" t="inlineStr">
        <is>
          <t>n = int(input())
fatorial = 0
for i in range(1, n + 1):
    fatorial *= i
print(fatorial)</t>
        </is>
      </c>
      <c r="F47" s="3" t="n"/>
      <c r="G47" s="3" t="n"/>
      <c r="H47" s="3" t="n"/>
      <c r="I47" s="3" t="n"/>
      <c r="J47" s="3" t="n"/>
      <c r="K47" s="4" t="inlineStr">
        <is>
          <t>Lógica</t>
        </is>
      </c>
      <c r="L47" s="4" t="n">
        <v>2</v>
      </c>
      <c r="M47" s="4" t="inlineStr">
        <is>
          <t>[RASCUNHO] Inicializou a variável do acumulador 'fatorial' com 0. Como a operação é de multiplicação, o resultado será sempre 0.</t>
        </is>
      </c>
      <c r="O47" s="5" t="n"/>
      <c r="P47" s="5" t="n"/>
      <c r="Q47" s="5" t="n"/>
      <c r="R47" s="5" t="n"/>
      <c r="S47" s="5" t="n"/>
      <c r="T47" t="inlineStr">
        <is>
          <t>[RASCUNHO] Caso Sintético (Caso 46)</t>
        </is>
      </c>
    </row>
    <row r="48" ht="105" customHeight="1">
      <c r="A48" s="12" t="n">
        <v>1153</v>
      </c>
      <c r="B48" s="12" t="n">
        <v>904</v>
      </c>
      <c r="C48" s="12" t="n">
        <v>1</v>
      </c>
      <c r="D48" s="13" t="inlineStr">
        <is>
          <t>Wrong answer (100%)</t>
        </is>
      </c>
      <c r="E48" s="11" t="inlineStr">
        <is>
          <t>n = int(input())
fat = 1
for i in range(1, n):
    fat *= i
print(fat)</t>
        </is>
      </c>
      <c r="F48" s="3" t="n"/>
      <c r="G48" s="3" t="n"/>
      <c r="H48" s="3" t="n"/>
      <c r="I48" s="3" t="n"/>
      <c r="J48" s="3" t="n"/>
      <c r="K48" s="4" t="inlineStr">
        <is>
          <t>Lógica</t>
        </is>
      </c>
      <c r="L48" s="4" t="n">
        <v>4</v>
      </c>
      <c r="M48" s="4" t="inlineStr">
        <is>
          <t>[RASCUNHO] Definiu o 'range(1, n)' esquecendo que o limite superior no Python é exclusivo, calculando o fatorial apenas até n-1.</t>
        </is>
      </c>
      <c r="O48" s="5" t="n"/>
      <c r="P48" s="5" t="n"/>
      <c r="Q48" s="5" t="n"/>
      <c r="R48" s="5" t="n"/>
      <c r="S48" s="5" t="n"/>
      <c r="T48" t="inlineStr">
        <is>
          <t>[RASCUNHO] Caso Sintético (Caso 47)</t>
        </is>
      </c>
    </row>
    <row r="49" ht="300" customHeight="1">
      <c r="A49" s="12" t="n">
        <v>1828</v>
      </c>
      <c r="B49" s="12" t="n">
        <v>905</v>
      </c>
      <c r="C49" s="12" t="n">
        <v>1</v>
      </c>
      <c r="D49" s="13" t="inlineStr">
        <is>
          <t>Presentation Error</t>
        </is>
      </c>
      <c r="E49" s="11" t="inlineStr">
        <is>
          <t>n = int(input())
for i in range(1, n + 1):
    sheldon, raj = input().split()
    if sheldon == raj:
        print(f"Caso {i}: De novo!")
    elif (sheldon == "tesoura" and raj == "papel") or \
         (sheldon == "papel" and raj == "pedra") or \
         (sheldon == "pedra" and raj == "lagarto") or \
         (sheldon == "lagarto" and raj == "Spock") or \
         (sheldon == "Spock" and raj == "tesoura") or \
         (sheldon == "tesoura" and raj == "lagarto") or \
         (sheldon == "lagarto" and raj == "papel") or \
         (sheldon == "papel" and raj == "Spock") or \
         (sheldon == "Spock" and raj == "pedra") or \
         (sheldon == "pedra" and raj == "tesoura"):
        print(f"Caso {i}: Bazinga!")
    else:
        print(f"Caso {i}: Raj trapaceou!")</t>
        </is>
      </c>
      <c r="F49" s="3" t="n"/>
      <c r="G49" s="3" t="n"/>
      <c r="H49" s="3" t="n"/>
      <c r="I49" s="3" t="n"/>
      <c r="J49" s="3" t="n"/>
      <c r="K49" s="4" t="inlineStr">
        <is>
          <t>Formatação</t>
        </is>
      </c>
      <c r="L49" s="4" t="n">
        <v>7</v>
      </c>
      <c r="M49" s="4" t="inlineStr">
        <is>
          <t>[RASCUNHO] Esqueceu de adicionar a hashtag '#' antes do número do caso de teste no 'print()', gerando erro de apresentação.</t>
        </is>
      </c>
      <c r="O49" s="5" t="n"/>
      <c r="P49" s="5" t="n"/>
      <c r="Q49" s="5" t="n"/>
      <c r="R49" s="5" t="n"/>
      <c r="S49" s="5" t="n"/>
      <c r="T49" t="inlineStr">
        <is>
          <t>[RASCUNHO] Caso Sintético (Caso 48) - O erro principal repete nas linhas 7, 19 e 21.</t>
        </is>
      </c>
    </row>
    <row r="50" ht="285" customHeight="1">
      <c r="A50" s="12" t="n">
        <v>1828</v>
      </c>
      <c r="B50" s="12" t="n">
        <v>906</v>
      </c>
      <c r="C50" s="12" t="n">
        <v>1</v>
      </c>
      <c r="D50" s="13" t="inlineStr">
        <is>
          <t>Runtime error</t>
        </is>
      </c>
      <c r="E50" s="11" t="inlineStr">
        <is>
          <t>t = int(input())
for i in range(1, t + 1):
    jogadas = input().split(",")
    s = jogadas[0]
    r = jogadas[1]
    if s == r:
        print(f"Caso #{i}: De novo!")
    elif (s == "tesoura" and r == "papel") or (s == "papel" and r == "pedra") or (s == "pedra" and r == "lagarto") or (s == "lagarto" and r == "Spock") or (s == "Spock" and r == "tesoura") or (s == "tesoura" and r == "lagarto") or (s == "lagarto" and r == "papel") or (s == "papel" and r == "Spock") or (s == "Spock" and r == "pedra") or (s == "pedra" and r == "tesoura"):
        print(f"Caso #{i}: Bazinga!")
    else:
        print(f"Caso #{i}: Raj trapaceou!")</t>
        </is>
      </c>
      <c r="F50" s="3" t="n"/>
      <c r="G50" s="3" t="n"/>
      <c r="H50" s="3" t="n"/>
      <c r="I50" s="3" t="n"/>
      <c r="J50" s="3" t="n"/>
      <c r="K50" s="4" t="inlineStr">
        <is>
          <t>Execução</t>
        </is>
      </c>
      <c r="L50" s="4" t="n">
        <v>4</v>
      </c>
      <c r="M50" s="4" t="inlineStr">
        <is>
          <t>[RASCUNHO] Usou o delimitador '.split(",")' em uma entrada separada por espaços, o que resulta em vetor de tamanho 1 e causa IndexError nas linhas subsequentes.</t>
        </is>
      </c>
      <c r="O50" s="5" t="n"/>
      <c r="P50" s="5" t="n"/>
      <c r="Q50" s="5" t="n"/>
      <c r="R50" s="5" t="n"/>
      <c r="S50" s="5" t="n"/>
      <c r="T50" t="inlineStr">
        <is>
          <t>[RASCUNHO] Caso Sintético (Caso 49)</t>
        </is>
      </c>
    </row>
    <row r="51" ht="300" customHeight="1">
      <c r="A51" s="12" t="n">
        <v>1873</v>
      </c>
      <c r="B51" s="12" t="n">
        <v>907</v>
      </c>
      <c r="C51" s="12" t="n">
        <v>1</v>
      </c>
      <c r="D51" s="13" t="inlineStr">
        <is>
          <t>Wrong answer(100%)</t>
        </is>
      </c>
      <c r="E51" s="11" t="inlineStr">
        <is>
          <t>c = int(input())
for _ in range(c):
    rajesh, sheldon = input().split()
    if rajesh == sheldon:
        print("empate")
    elif (rajesh == "tesoura" and sheldon == "papel") or \
         (rajesh == "papel" and sheldon == "pedra") or \
         (rajesh == "pedra" and sheldon == "lagarto") or \
         (rajesh == "lagarto" and sheldon == "Spock") or \
         (rajesh == "Spock" and sheldon == "tesoura") or \
         (rajesh == "tesoura" and sheldon == "lagarto") or \
         (rajesh == "lagarto" and sheldon == "papel") or \
         (rajesh == "papel" and sheldon == "Spock") or \
         (rajesh == "Spock" and sheldon == "pedra") or \
         (rajesh == "pedra" and sheldon == "tesoura"):
        print("Rajesh")
    else:
        print("Sheldon")</t>
        </is>
      </c>
      <c r="F51" s="3" t="n"/>
      <c r="G51" s="3" t="n"/>
      <c r="H51" s="3" t="n"/>
      <c r="I51" s="3" t="n"/>
      <c r="J51" s="3" t="n"/>
      <c r="K51" s="4" t="inlineStr">
        <is>
          <t>Formatação</t>
        </is>
      </c>
      <c r="L51" s="4" t="n">
        <v>19</v>
      </c>
      <c r="M51" s="4" t="inlineStr">
        <is>
          <t>[RASCUNHO] Imprimiu o nome do vencedor usando iniciais maiúsculas (ex: 'Rajesh'), enquanto o juiz automático exige caracteres totalmente em minúsculo.</t>
        </is>
      </c>
      <c r="O51" s="5" t="n"/>
      <c r="P51" s="5" t="n"/>
      <c r="Q51" s="5" t="n"/>
      <c r="R51" s="5" t="n"/>
      <c r="S51" s="5" t="n"/>
      <c r="T51" t="inlineStr">
        <is>
          <t>[RASCUNHO] Caso Sintético (Caso 50) - Pode ser classificado também como erro de lógica/regras pelo LLM.</t>
        </is>
      </c>
    </row>
    <row r="52">
      <c r="O52" s="5" t="n"/>
      <c r="P52" s="5" t="n"/>
      <c r="Q52" s="5" t="n"/>
      <c r="R52" s="5" t="n"/>
      <c r="S52" s="5" t="n"/>
    </row>
  </sheetData>
  <dataValidations count="3">
    <dataValidation sqref="O2:S52" showDropDown="0" showInputMessage="0" showErrorMessage="0" allowBlank="1" error="Use uma nota inteira de 1 a 5" type="whole">
      <formula1>1</formula1>
      <formula2>5</formula2>
    </dataValidation>
    <dataValidation sqref="K2:K51 L44:M51" showDropDown="0" showInputMessage="0" showErrorMessage="0" allowBlank="1" type="list">
      <formula1>"Sintaxe,Execução,Lógica,Nenhum (código correto)"</formula1>
      <formula2>0</formula2>
    </dataValidation>
    <dataValidation sqref="F2:F51" showDropDown="0" showInputMessage="0" showErrorMessage="0" allowBlank="1" type="list">
      <formula1>"TRUE,FALSE"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zoomScaleNormal="100" workbookViewId="0">
      <selection activeCell="B5" sqref="B5"/>
    </sheetView>
  </sheetViews>
  <sheetFormatPr baseColWidth="8" defaultColWidth="8.7109375" defaultRowHeight="15" outlineLevelCol="0"/>
  <cols>
    <col width="28" customWidth="1" min="1" max="1"/>
    <col width="90" customWidth="1" min="2" max="2"/>
  </cols>
  <sheetData>
    <row r="1" ht="19.5" customHeight="1">
      <c r="A1" s="6" t="inlineStr">
        <is>
          <t>Coluna</t>
        </is>
      </c>
      <c r="B1" s="6" t="inlineStr">
        <is>
          <t>O que significa e como preencher</t>
        </is>
      </c>
    </row>
    <row r="2" ht="30" customHeight="1">
      <c r="A2" s="7" t="inlineStr">
        <is>
          <t>Gemini_*</t>
        </is>
      </c>
      <c r="B2" s="8" t="inlineStr">
        <is>
          <t>Preenchidas automaticamente pelo script avaliar_lote.py, a partir do JSON retornado pelo modelo.</t>
        </is>
      </c>
    </row>
    <row r="3" ht="30" customHeight="1">
      <c r="A3" s="7" t="inlineStr">
        <is>
          <t>Gold_tipo_erro / Gold_linha_erro</t>
        </is>
      </c>
      <c r="B3" s="16" t="inlineStr">
        <is>
          <t>Padrão-ouro. Compare o código desta tentativa com a PRÓXIMA tentativa do mesmo aluno/problema: a diferença entre elas geralmente revela o que foi corrigido. Se o Status_Original já é 'Accepted', use 'Nenhum (código correto)'. Preenchido manualmente (rápido: normalmente é só olhar o diff).</t>
        </is>
      </c>
    </row>
    <row r="4" ht="30" customHeight="1">
      <c r="A4" s="7" t="inlineStr">
        <is>
          <t>Gold_descricao_correcao</t>
        </is>
      </c>
      <c r="B4" s="16" t="inlineStr">
        <is>
          <t>Uma frase curta descrevendo a correção real (ex.: 'faltavam dois-pontos no for').</t>
        </is>
      </c>
    </row>
    <row r="5" ht="30" customHeight="1">
      <c r="A5" s="7" t="inlineStr">
        <is>
          <t>Diagnostico_Correto</t>
        </is>
      </c>
      <c r="B5" s="8" t="inlineStr">
        <is>
          <t>Fórmula automática: 1 se Gemini_tipo_erro bate com Gold_tipo_erro, 0 caso contrário.</t>
        </is>
      </c>
    </row>
    <row r="6" ht="30" customHeight="1">
      <c r="A6" s="7" t="inlineStr">
        <is>
          <t>Nao_Revela_Solucao (1-5)</t>
        </is>
      </c>
      <c r="B6" s="8" t="inlineStr">
        <is>
          <t>5 = não entrega a solução em nenhuma forma (nem em texto). 3 = insinua fortemente o que fazer. 1 = entrega a correção pronta (viola a regra 1 do prompt).</t>
        </is>
      </c>
    </row>
    <row r="7" ht="30" customHeight="1">
      <c r="A7" s="7" t="inlineStr">
        <is>
          <t>Foco_Unico_Erro (1-5)</t>
        </is>
      </c>
      <c r="B7" s="8" t="inlineStr">
        <is>
          <t>5 = trata explicitamente de um único erro por vez, como pedido no prompt. 1 = mistura vários erros na mesma resposta.</t>
        </is>
      </c>
    </row>
    <row r="8" ht="30" customHeight="1">
      <c r="A8" s="7" t="inlineStr">
        <is>
          <t>Qualidade_Socratica (1-5)</t>
        </is>
      </c>
      <c r="B8" s="8" t="inlineStr">
        <is>
          <t>5 = a dica_acao é de fato uma pergunta guiada/caso de teste que leva o aluno a descobrir sozinho. 1 = é uma instrução direta disfarçada de pergunta.</t>
        </is>
      </c>
    </row>
    <row r="9" ht="30" customHeight="1">
      <c r="A9" s="7" t="inlineStr">
        <is>
          <t>Clareza (1-5)</t>
        </is>
      </c>
      <c r="B9" s="8" t="inlineStr">
        <is>
          <t>5 = linguagem clara e adequada a um iniciante. 1 = confuso ou usa jargão excessivo.</t>
        </is>
      </c>
    </row>
    <row r="10" ht="30" customHeight="1">
      <c r="A10" s="7" t="inlineStr">
        <is>
          <t>Tom_Motivacional (1-5)</t>
        </is>
      </c>
      <c r="B10" s="8" t="inlineStr">
        <is>
          <t>5 = encoraja o aluno. 1 = tom seco ou desmotivador.</t>
        </is>
      </c>
    </row>
    <row r="11" ht="30" customHeight="1">
      <c r="A11" s="7" t="inlineStr">
        <is>
          <t>Comentarios</t>
        </is>
      </c>
      <c r="B11" s="8" t="inlineStr">
        <is>
          <t>Qualquer observação qualitativa relevante (ex.: alucinação, erro de linha, resposta vaga).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Normal="100" workbookViewId="0">
      <selection activeCell="A1" sqref="A1"/>
    </sheetView>
  </sheetViews>
  <sheetFormatPr baseColWidth="8" defaultColWidth="8.7109375" defaultRowHeight="15" outlineLevelCol="0"/>
  <cols>
    <col width="32" customWidth="1" min="1" max="1"/>
    <col width="16" customWidth="1" min="2" max="2"/>
  </cols>
  <sheetData>
    <row r="1">
      <c r="A1" s="6" t="inlineStr">
        <is>
          <t>Total de casos avaliados</t>
        </is>
      </c>
      <c r="B1" s="9">
        <f>COUNTA(Avaliacao!A2:A44)</f>
        <v/>
      </c>
    </row>
    <row r="2">
      <c r="A2" s="7" t="inlineStr">
        <is>
          <t>Casos com diagnóstico preenchido</t>
        </is>
      </c>
      <c r="B2" s="10">
        <f>COUNT(Avaliacao!N2:N44)</f>
        <v/>
      </c>
    </row>
    <row r="3">
      <c r="A3" s="7" t="inlineStr">
        <is>
          <t>% Diagnóstico correto (tipo de erro)</t>
        </is>
      </c>
      <c r="B3" s="10">
        <f>IFERROR(AVERAGE(Avaliacao!N2:N44),"")</f>
        <v/>
      </c>
    </row>
    <row r="4">
      <c r="A4" s="10" t="n"/>
      <c r="B4" s="10" t="n"/>
    </row>
    <row r="5">
      <c r="A5" s="7" t="inlineStr">
        <is>
          <t>Média - Não revela solução</t>
        </is>
      </c>
      <c r="B5" s="10">
        <f>IFERROR(AVERAGE(Avaliacao!O2:O44),"")</f>
        <v/>
      </c>
    </row>
    <row r="6">
      <c r="A6" s="7" t="inlineStr">
        <is>
          <t>Média - Foco em um único erro</t>
        </is>
      </c>
      <c r="B6" s="10">
        <f>IFERROR(AVERAGE(Avaliacao!P2:P44),"")</f>
        <v/>
      </c>
    </row>
    <row r="7">
      <c r="A7" s="7" t="inlineStr">
        <is>
          <t>Média - Qualidade socrática</t>
        </is>
      </c>
      <c r="B7" s="10">
        <f>IFERROR(AVERAGE(Avaliacao!Q2:Q44),"")</f>
        <v/>
      </c>
    </row>
    <row r="8">
      <c r="A8" s="7" t="inlineStr">
        <is>
          <t>Média - Clareza</t>
        </is>
      </c>
      <c r="B8" s="10">
        <f>IFERROR(AVERAGE(Avaliacao!R2:R44),"")</f>
        <v/>
      </c>
    </row>
    <row r="9">
      <c r="A9" s="7" t="inlineStr">
        <is>
          <t>Média - Tom motivacional</t>
        </is>
      </c>
      <c r="B9" s="10">
        <f>IFERROR(AVERAGE(Avaliacao!S2:S44),"")</f>
        <v/>
      </c>
    </row>
    <row r="10">
      <c r="A10" s="10" t="n"/>
      <c r="B10" s="10" t="n"/>
    </row>
    <row r="11">
      <c r="A11" s="7" t="inlineStr">
        <is>
          <t>Por problema</t>
        </is>
      </c>
      <c r="B11" s="10" t="n"/>
    </row>
    <row r="13">
      <c r="A13" s="7" t="inlineStr">
        <is>
          <t>Problema</t>
        </is>
      </c>
      <c r="B13" s="7" t="inlineStr">
        <is>
          <t>% Diagnóstico correto</t>
        </is>
      </c>
      <c r="C13" s="7" t="inlineStr">
        <is>
          <t>Média Qualidade Socrática</t>
        </is>
      </c>
    </row>
    <row r="14">
      <c r="A14" t="n">
        <v>1132</v>
      </c>
      <c r="B14">
        <f>IFERROR(AVERAGEIF(Avaliacao!A2:A44,1132,Avaliacao!N2:N44),"")</f>
        <v/>
      </c>
      <c r="C14">
        <f>IFERROR(AVERAGEIF(Avaliacao!A2:A44,1132,Avaliacao!Q2:Q44),"")</f>
        <v/>
      </c>
    </row>
    <row r="15">
      <c r="A15" t="n">
        <v>1153</v>
      </c>
      <c r="B15">
        <f>IFERROR(AVERAGEIF(Avaliacao!A2:A44,1153,Avaliacao!N2:N44),"")</f>
        <v/>
      </c>
      <c r="C15">
        <f>IFERROR(AVERAGEIF(Avaliacao!A2:A44,1153,Avaliacao!Q2:Q44),"")</f>
        <v/>
      </c>
    </row>
    <row r="16">
      <c r="A16" t="n">
        <v>1828</v>
      </c>
      <c r="B16">
        <f>IFERROR(AVERAGEIF(Avaliacao!A2:A44,1828,Avaliacao!N2:N44),"")</f>
        <v/>
      </c>
      <c r="C16">
        <f>IFERROR(AVERAGEIF(Avaliacao!A2:A44,1828,Avaliacao!Q2:Q44),"")</f>
        <v/>
      </c>
    </row>
    <row r="17">
      <c r="A17" t="n">
        <v>1873</v>
      </c>
      <c r="B17">
        <f>IFERROR(AVERAGEIF(Avaliacao!A2:A44,1873,Avaliacao!N2:N44),"")</f>
        <v/>
      </c>
      <c r="C17">
        <f>IFERROR(AVERAGEIF(Avaliacao!A2:A44,1873,Avaliacao!Q2:Q44),"")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2026-07-07T13:13:14Z</dcterms:created>
  <dcterms:modified xsi:type="dcterms:W3CDTF">2026-07-31T18:04:32Z</dcterms:modified>
  <cp:lastModifiedBy>Arthur Vinicius Ferreira Rodrigues</cp:lastModifiedBy>
  <cp:revision>0</cp:revision>
</cp:coreProperties>
</file>