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rthurvfr\Downloads\"/>
    </mc:Choice>
  </mc:AlternateContent>
  <xr:revisionPtr revIDLastSave="0" documentId="13_ncr:1_{38C69393-D365-4AAC-990A-23C3C455158A}" xr6:coauthVersionLast="47" xr6:coauthVersionMax="47" xr10:uidLastSave="{00000000-0000-0000-0000-000000000000}"/>
  <bookViews>
    <workbookView xWindow="-120" yWindow="-120" windowWidth="29040" windowHeight="15720" tabRatio="500" activeTab="1" xr2:uid="{00000000-000D-0000-FFFF-FFFF00000000}"/>
  </bookViews>
  <sheets>
    <sheet name="Avaliacao" sheetId="1" r:id="rId1"/>
    <sheet name="Avaliacao_Local" sheetId="2" r:id="rId2"/>
    <sheet name="Comparativo" sheetId="5" r:id="rId3"/>
    <sheet name="Resumo" sheetId="3" r:id="rId4"/>
    <sheet name="Local_P0" sheetId="6" r:id="rId5"/>
    <sheet name="Local_P2" sheetId="7" r:id="rId6"/>
    <sheet name="Comparativo_Prompts" sheetId="8" r:id="rId7"/>
    <sheet name="Rubrica" sheetId="4"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21" i="8" l="1"/>
  <c r="D14" i="8"/>
  <c r="C14" i="8"/>
  <c r="B14" i="8"/>
  <c r="C13" i="8"/>
  <c r="B13" i="8"/>
  <c r="D12" i="8"/>
  <c r="D13" i="8" s="1"/>
  <c r="C12" i="8"/>
  <c r="B12" i="8"/>
  <c r="D11" i="8"/>
  <c r="C11" i="8"/>
  <c r="B11" i="8"/>
  <c r="D8" i="8"/>
  <c r="C8" i="8"/>
  <c r="B8" i="8"/>
  <c r="D7" i="8"/>
  <c r="C7" i="8"/>
  <c r="B7" i="8"/>
  <c r="D6" i="8"/>
  <c r="C6" i="8"/>
  <c r="B6" i="8"/>
  <c r="D5" i="8"/>
  <c r="C5" i="8"/>
  <c r="B5" i="8"/>
  <c r="D4" i="8"/>
  <c r="C4" i="8"/>
  <c r="B4" i="8"/>
  <c r="N51" i="7"/>
  <c r="N50" i="7"/>
  <c r="F50" i="7"/>
  <c r="N49" i="7"/>
  <c r="N48" i="7"/>
  <c r="N47" i="7"/>
  <c r="N46" i="7"/>
  <c r="N45" i="7"/>
  <c r="N44" i="7"/>
  <c r="N43" i="7"/>
  <c r="N42" i="7"/>
  <c r="N41" i="7"/>
  <c r="N40" i="7"/>
  <c r="N39" i="7"/>
  <c r="N38" i="7"/>
  <c r="N37" i="7"/>
  <c r="N36" i="7"/>
  <c r="N35" i="7"/>
  <c r="F35" i="7"/>
  <c r="N34" i="7"/>
  <c r="N33" i="7"/>
  <c r="N32" i="7"/>
  <c r="F32" i="7"/>
  <c r="N31" i="7"/>
  <c r="N30" i="7"/>
  <c r="N29" i="7"/>
  <c r="F29" i="7"/>
  <c r="N28" i="7"/>
  <c r="C21" i="8" s="1"/>
  <c r="N27" i="7"/>
  <c r="N26" i="7"/>
  <c r="N25" i="7"/>
  <c r="N24" i="7"/>
  <c r="N23" i="7"/>
  <c r="N22" i="7"/>
  <c r="N21" i="7"/>
  <c r="C20" i="8" s="1"/>
  <c r="N20" i="7"/>
  <c r="N19" i="7"/>
  <c r="N18" i="7"/>
  <c r="N17" i="7"/>
  <c r="F17" i="7"/>
  <c r="N16" i="7"/>
  <c r="C19" i="8" s="1"/>
  <c r="N15" i="7"/>
  <c r="N14" i="7"/>
  <c r="N13" i="7"/>
  <c r="N12" i="7"/>
  <c r="N11" i="7"/>
  <c r="C3" i="8" s="1"/>
  <c r="N10" i="7"/>
  <c r="N9" i="7"/>
  <c r="F9" i="7"/>
  <c r="N8" i="7"/>
  <c r="N7" i="7"/>
  <c r="N6" i="7"/>
  <c r="N5" i="7"/>
  <c r="C2" i="8" s="1"/>
  <c r="F5" i="7"/>
  <c r="N4" i="7"/>
  <c r="F4" i="7"/>
  <c r="N3" i="7"/>
  <c r="C18" i="8" s="1"/>
  <c r="N2" i="7"/>
  <c r="N51" i="6"/>
  <c r="N50" i="6"/>
  <c r="F50" i="6"/>
  <c r="N49" i="6"/>
  <c r="N48" i="6"/>
  <c r="N47" i="6"/>
  <c r="N46" i="6"/>
  <c r="N45" i="6"/>
  <c r="N44" i="6"/>
  <c r="N43" i="6"/>
  <c r="N42" i="6"/>
  <c r="N41" i="6"/>
  <c r="N40" i="6"/>
  <c r="N39" i="6"/>
  <c r="N38" i="6"/>
  <c r="N37" i="6"/>
  <c r="N36" i="6"/>
  <c r="N35" i="6"/>
  <c r="F35" i="6"/>
  <c r="N34" i="6"/>
  <c r="B21" i="8" s="1"/>
  <c r="N33" i="6"/>
  <c r="N32" i="6"/>
  <c r="F32" i="6"/>
  <c r="N31" i="6"/>
  <c r="N30" i="6"/>
  <c r="N29" i="6"/>
  <c r="F29" i="6"/>
  <c r="N28" i="6"/>
  <c r="N27" i="6"/>
  <c r="N26" i="6"/>
  <c r="N25" i="6"/>
  <c r="N24" i="6"/>
  <c r="N23" i="6"/>
  <c r="N22" i="6"/>
  <c r="N21" i="6"/>
  <c r="B20" i="8" s="1"/>
  <c r="N20" i="6"/>
  <c r="B3" i="8" s="1"/>
  <c r="N19" i="6"/>
  <c r="N18" i="6"/>
  <c r="N17" i="6"/>
  <c r="F17" i="6"/>
  <c r="N16" i="6"/>
  <c r="B19" i="8" s="1"/>
  <c r="N15" i="6"/>
  <c r="N14" i="6"/>
  <c r="N13" i="6"/>
  <c r="N12" i="6"/>
  <c r="N11" i="6"/>
  <c r="N10" i="6"/>
  <c r="N9" i="6"/>
  <c r="F9" i="6"/>
  <c r="N8" i="6"/>
  <c r="N7" i="6"/>
  <c r="N6" i="6"/>
  <c r="N5" i="6"/>
  <c r="F5" i="6"/>
  <c r="N4" i="6"/>
  <c r="F4" i="6"/>
  <c r="N3" i="6"/>
  <c r="N2" i="6"/>
  <c r="B18" i="8" s="1"/>
  <c r="B19" i="5"/>
  <c r="B11" i="5"/>
  <c r="B12" i="5" s="1"/>
  <c r="C8" i="5"/>
  <c r="D8" i="5" s="1"/>
  <c r="B8" i="5"/>
  <c r="C7" i="5"/>
  <c r="B7" i="5"/>
  <c r="D7" i="5" s="1"/>
  <c r="C6" i="5"/>
  <c r="D6" i="5" s="1"/>
  <c r="B6" i="5"/>
  <c r="C5" i="5"/>
  <c r="D5" i="5" s="1"/>
  <c r="B5" i="5"/>
  <c r="C4" i="5"/>
  <c r="D4" i="5" s="1"/>
  <c r="B4" i="5"/>
  <c r="C17" i="3"/>
  <c r="C16" i="3"/>
  <c r="C15" i="3"/>
  <c r="C14" i="3"/>
  <c r="B9" i="3"/>
  <c r="B8" i="3"/>
  <c r="B7" i="3"/>
  <c r="B6" i="3"/>
  <c r="B5" i="3"/>
  <c r="B1" i="3"/>
  <c r="N51" i="2"/>
  <c r="F51" i="2"/>
  <c r="N50" i="2"/>
  <c r="F50" i="2"/>
  <c r="N49" i="2"/>
  <c r="F49" i="2"/>
  <c r="N48" i="2"/>
  <c r="C17" i="5" s="1"/>
  <c r="F48" i="2"/>
  <c r="N47" i="2"/>
  <c r="F47" i="2"/>
  <c r="N46" i="2"/>
  <c r="F46" i="2"/>
  <c r="N45" i="2"/>
  <c r="F45" i="2"/>
  <c r="N44" i="2"/>
  <c r="F44" i="2"/>
  <c r="N43" i="2"/>
  <c r="F43" i="2"/>
  <c r="N42" i="2"/>
  <c r="F42" i="2"/>
  <c r="N41" i="2"/>
  <c r="F41" i="2"/>
  <c r="N40" i="2"/>
  <c r="F40" i="2"/>
  <c r="N39" i="2"/>
  <c r="F39" i="2"/>
  <c r="N38" i="2"/>
  <c r="C19" i="5" s="1"/>
  <c r="F38" i="2"/>
  <c r="N37" i="2"/>
  <c r="F37" i="2"/>
  <c r="N36" i="2"/>
  <c r="F36" i="2"/>
  <c r="N35" i="2"/>
  <c r="F35" i="2"/>
  <c r="N34" i="2"/>
  <c r="F34" i="2"/>
  <c r="N33" i="2"/>
  <c r="F33" i="2"/>
  <c r="N32" i="2"/>
  <c r="F32" i="2"/>
  <c r="N31" i="2"/>
  <c r="F31" i="2"/>
  <c r="N30" i="2"/>
  <c r="F30" i="2"/>
  <c r="N29" i="2"/>
  <c r="F29" i="2"/>
  <c r="N28" i="2"/>
  <c r="F28" i="2"/>
  <c r="N27" i="2"/>
  <c r="F27" i="2"/>
  <c r="N26" i="2"/>
  <c r="F26" i="2"/>
  <c r="N25" i="2"/>
  <c r="C18" i="5" s="1"/>
  <c r="F25" i="2"/>
  <c r="N24" i="2"/>
  <c r="F24" i="2"/>
  <c r="N23" i="2"/>
  <c r="F23" i="2"/>
  <c r="N22" i="2"/>
  <c r="F22" i="2"/>
  <c r="N21" i="2"/>
  <c r="D20" i="8" s="1"/>
  <c r="F21" i="2"/>
  <c r="N20" i="2"/>
  <c r="F20" i="2"/>
  <c r="N19" i="2"/>
  <c r="F19" i="2"/>
  <c r="N18" i="2"/>
  <c r="F18" i="2"/>
  <c r="N17" i="2"/>
  <c r="F17" i="2"/>
  <c r="N16" i="2"/>
  <c r="D19" i="8" s="1"/>
  <c r="F16" i="2"/>
  <c r="N15" i="2"/>
  <c r="F15" i="2"/>
  <c r="N14" i="2"/>
  <c r="F14" i="2"/>
  <c r="N13" i="2"/>
  <c r="F13" i="2"/>
  <c r="N12" i="2"/>
  <c r="F12" i="2"/>
  <c r="N11" i="2"/>
  <c r="F11" i="2"/>
  <c r="N10" i="2"/>
  <c r="F10" i="2"/>
  <c r="N9" i="2"/>
  <c r="F9" i="2"/>
  <c r="N8" i="2"/>
  <c r="F8" i="2"/>
  <c r="N7" i="2"/>
  <c r="F7" i="2"/>
  <c r="N6" i="2"/>
  <c r="F6" i="2"/>
  <c r="N5" i="2"/>
  <c r="F5" i="2"/>
  <c r="N4" i="2"/>
  <c r="F4" i="2"/>
  <c r="N3" i="2"/>
  <c r="F3" i="2"/>
  <c r="N2" i="2"/>
  <c r="C16" i="5" s="1"/>
  <c r="F2" i="2"/>
  <c r="N51" i="1"/>
  <c r="F51" i="1"/>
  <c r="N50" i="1"/>
  <c r="F50" i="1"/>
  <c r="N49" i="1"/>
  <c r="F49" i="1"/>
  <c r="N48" i="1"/>
  <c r="F48" i="1"/>
  <c r="N47" i="1"/>
  <c r="F47" i="1"/>
  <c r="N46" i="1"/>
  <c r="F46" i="1"/>
  <c r="N45" i="1"/>
  <c r="F45" i="1"/>
  <c r="N44" i="1"/>
  <c r="F44" i="1"/>
  <c r="N43" i="1"/>
  <c r="F43" i="1"/>
  <c r="N42" i="1"/>
  <c r="F42" i="1"/>
  <c r="N41" i="1"/>
  <c r="F41" i="1"/>
  <c r="N40" i="1"/>
  <c r="F40" i="1"/>
  <c r="N39" i="1"/>
  <c r="F39" i="1"/>
  <c r="N38" i="1"/>
  <c r="F38" i="1"/>
  <c r="N37" i="1"/>
  <c r="F37" i="1"/>
  <c r="N36" i="1"/>
  <c r="F36" i="1"/>
  <c r="N35" i="1"/>
  <c r="F35" i="1"/>
  <c r="N34" i="1"/>
  <c r="F34" i="1"/>
  <c r="N33" i="1"/>
  <c r="F33" i="1"/>
  <c r="N32" i="1"/>
  <c r="F32" i="1"/>
  <c r="N31" i="1"/>
  <c r="F31" i="1"/>
  <c r="N30" i="1"/>
  <c r="F30" i="1"/>
  <c r="N29" i="1"/>
  <c r="F29" i="1"/>
  <c r="N28" i="1"/>
  <c r="B17" i="3" s="1"/>
  <c r="F28" i="1"/>
  <c r="N27" i="1"/>
  <c r="B16" i="3" s="1"/>
  <c r="F27" i="1"/>
  <c r="N26" i="1"/>
  <c r="F26" i="1"/>
  <c r="N25" i="1"/>
  <c r="F25" i="1"/>
  <c r="N24" i="1"/>
  <c r="F24" i="1"/>
  <c r="N23" i="1"/>
  <c r="B18" i="5" s="1"/>
  <c r="F23" i="1"/>
  <c r="N22" i="1"/>
  <c r="F22" i="1"/>
  <c r="N21" i="1"/>
  <c r="F21" i="1"/>
  <c r="N20" i="1"/>
  <c r="F20" i="1"/>
  <c r="N19" i="1"/>
  <c r="F19" i="1"/>
  <c r="N18" i="1"/>
  <c r="F18" i="1"/>
  <c r="N17" i="1"/>
  <c r="F17" i="1"/>
  <c r="N16" i="1"/>
  <c r="B17" i="5" s="1"/>
  <c r="F16" i="1"/>
  <c r="N15" i="1"/>
  <c r="F15" i="1"/>
  <c r="N14" i="1"/>
  <c r="F14" i="1"/>
  <c r="N13" i="1"/>
  <c r="F13" i="1"/>
  <c r="N12" i="1"/>
  <c r="F12" i="1"/>
  <c r="N11" i="1"/>
  <c r="F11" i="1"/>
  <c r="N10" i="1"/>
  <c r="F10" i="1"/>
  <c r="N9" i="1"/>
  <c r="F9" i="1"/>
  <c r="N8" i="1"/>
  <c r="F8" i="1"/>
  <c r="N7" i="1"/>
  <c r="F7" i="1"/>
  <c r="N6" i="1"/>
  <c r="F6" i="1"/>
  <c r="N5" i="1"/>
  <c r="F5" i="1"/>
  <c r="N4" i="1"/>
  <c r="F4" i="1"/>
  <c r="N3" i="1"/>
  <c r="F3" i="1"/>
  <c r="N2" i="1"/>
  <c r="B2" i="5" s="1"/>
  <c r="F2" i="1"/>
  <c r="B24" i="8" l="1"/>
  <c r="C2" i="5"/>
  <c r="B3" i="5"/>
  <c r="B2" i="8"/>
  <c r="C3" i="5"/>
  <c r="D3" i="5" s="1"/>
  <c r="D2" i="8"/>
  <c r="B3" i="3"/>
  <c r="D18" i="8"/>
  <c r="B14" i="3"/>
  <c r="B2" i="3"/>
  <c r="D3" i="8"/>
  <c r="B25" i="8" s="1"/>
  <c r="B15" i="3"/>
  <c r="B16" i="5"/>
</calcChain>
</file>

<file path=xl/sharedStrings.xml><?xml version="1.0" encoding="utf-8"?>
<sst xmlns="http://schemas.openxmlformats.org/spreadsheetml/2006/main" count="1402" uniqueCount="449">
  <si>
    <t>Problem</t>
  </si>
  <si>
    <t>Student</t>
  </si>
  <si>
    <t>Attempt</t>
  </si>
  <si>
    <t>Status_Original</t>
  </si>
  <si>
    <t>Codigo_Aluno</t>
  </si>
  <si>
    <t>Gemini_is_correct</t>
  </si>
  <si>
    <t>Gemini_linha_erro</t>
  </si>
  <si>
    <t>Gemini_tipo_erro</t>
  </si>
  <si>
    <t>Gemini_feedback_formativo</t>
  </si>
  <si>
    <t>Gemini_dica_acao</t>
  </si>
  <si>
    <t>Gold_tipo_erro</t>
  </si>
  <si>
    <t>Gold_linha_erro</t>
  </si>
  <si>
    <t>Gold_descricao_correcao</t>
  </si>
  <si>
    <t>Diagnostico_Correto</t>
  </si>
  <si>
    <t>Nao_Revela_Solucao_1a5</t>
  </si>
  <si>
    <t>Foco_Unico_Erro_1a5</t>
  </si>
  <si>
    <t>Qualidade_Socratica_1a5</t>
  </si>
  <si>
    <t>Clareza_1a5</t>
  </si>
  <si>
    <t>Tom_Motivacional_1a5</t>
  </si>
  <si>
    <t>Comentarios</t>
  </si>
  <si>
    <t>Runtime error</t>
  </si>
  <si>
    <t>#include &lt;stdio.h&gt;
X, Y = map(int, input().split())
soma = 0
for c in range(X, Y)
    if c % 13 != 0:
        soma += c
print(soma)</t>
  </si>
  <si>
    <t>Sintaxe</t>
  </si>
  <si>
    <t>O Python não conseguiu entender a estrutura do seu laço de repetição na linha 6 e interrompeu a execução por um erro de sintaxe.</t>
  </si>
  <si>
    <t>Observe atentamente o final da instrução do laço 'for' na linha 6. Qual caractere o Python exige ao final da linha de cabeçalho para sinalizar o início de um bloco de código?</t>
  </si>
  <si>
    <t>Falta ':' no final do for (linha 6).</t>
  </si>
  <si>
    <t>#include &lt;stdio.h&gt;
X, Y = map(int, input().split())
soma = 0
for c in range(X, Y + 1)
    if c % 13 != 0:
        soma += c
print(soma)</t>
  </si>
  <si>
    <t>O Python não conseguiu entender a estrutura da linha 6 e interrompeu a execução antes mesmo de processar os dados.</t>
  </si>
  <si>
    <t>Observe com atenção a estrutura do seu laço 'for' na linha 6. Qual sinal de pontuação o Python exige ao final da linha que define uma estrutura de repetição?</t>
  </si>
  <si>
    <t>Wrong answer (100%)</t>
  </si>
  <si>
    <t>#include &lt;stdio.h&gt;
X = int(input())
Y = int(input())
soma = 0
for c in range(X, Y+1):
  if c % 13 != 0:
    soma += c
print(soma)</t>
  </si>
  <si>
    <t>Lógica</t>
  </si>
  <si>
    <t>Seu código funciona perfeitamente quando os valores são informados em ordem crescente. Contudo, a lógica tropeça quando o primeiro valor lido é maior que o segundo.</t>
  </si>
  <si>
    <t>O que o seu código produz se a entrada for X = 200 e Y = 100? O que acontece com o intervalo `range(X, Y+1)` nesse caso?</t>
  </si>
  <si>
    <t>Não trata X &gt; Y: para 200/100 imprime 0 em vez de 13954.</t>
  </si>
  <si>
    <t>#include &lt;stdio.h&gt;
X, Y= map(int. input())
soma = 0
for c in range(X, Y+1):
    if c % 13 != 0:
        soma += c
print(soma)</t>
  </si>
  <si>
    <t>Seu código não conseguiu ser executado pelo Python por conta de uma inconsistência na sintaxe na hora de receber os dados de entrada.</t>
  </si>
  <si>
    <t>Observe com atenção a linha 3, especificamente o trecho 'int. input()'. Como as funções e seus argumentos devem ser separados dentro dos parênteses no Python?</t>
  </si>
  <si>
    <t>Execução</t>
  </si>
  <si>
    <t>'int. input()' com ponto: gera AttributeError em tempo de execução (não é sintaxe).</t>
  </si>
  <si>
    <t>DIVERGÊNCIA DE TIPO: Gemini classificou Sintaxe, mas 'int.input()' é sintaticamente válido e falha em runtime (AttributeError) -&gt; gold Execução. Caso limítrofe, vale revisar.</t>
  </si>
  <si>
    <t>#include &lt;stdio.h&gt;
X, Y= map(int. input().split())
soma = 0
for c in range(X, Y+1):
    if c % 13 != 0:
        soma += c
print(soma)</t>
  </si>
  <si>
    <t>O interpretador Python encontrou um erro de sintaxe ao tentar processar a linha onde as entradas são lidas.</t>
  </si>
  <si>
    <t>Observe atentamente a linha 3, em especial dentro da função `map(...)`. Como costumamos separar diferentes argumentos passados para uma função em Python?</t>
  </si>
  <si>
    <t>DIVERGÊNCIA DE TIPO: mesma situação da linha 5 (Sintaxe x Execução).</t>
  </si>
  <si>
    <t>#include &lt;stdio.h&gt;
X, Y= map(int, input().split())
soma = 0
for c in range(X, Y+1):
    if c % 13 != 0:
        soma += c
print(soma)</t>
  </si>
  <si>
    <t>Seu código interrompe a execução logo no início ao tentar processar as entradas.</t>
  </si>
  <si>
    <t>Considerando que o primeiro valor (ex: 100) é digitado em uma linha e o segundo valor (ex: 200) é digitado na linha seguinte, o que a função `input().split()` retorna na primeira leitura?</t>
  </si>
  <si>
    <t>input().split() lê 1 linha, mas a entrada tem X e Y em linhas separadas -&gt; ValueError.</t>
  </si>
  <si>
    <t>[RASCUNHO/juiz] Gemini diagnosticou Lógica(X&gt;Y); Gold sugere formato de entrada (Execução) -- verificar diagnóstico.</t>
  </si>
  <si>
    <t>#include &lt;stdio.h&gt;
X = int(input())
Y= int(input())
soma = 0
for c in range(X, Y+1):
    if c % 13 != 0:
        soma += c
print(soma)</t>
  </si>
  <si>
    <t>Seu código funciona muito bem quando o primeiro número é menor que o segundo! Porém, há uma situação específica de entrada em que o laço de repetição não chega a executar.</t>
  </si>
  <si>
    <t>Simule a execução do seu programa no papel quando a entrada for X = 200 e Y = 100. O que a instrução range(X, Y+1) gera nesse caso?</t>
  </si>
  <si>
    <t>Não trata X &gt; Y: para 200/100 o range fica vazio e a soma sai errada.</t>
  </si>
  <si>
    <t>Accepted</t>
  </si>
  <si>
    <t>#include &lt;stdio.h&gt;
X = int(input())
Y = int(input())
if X &gt; Y:
    X, Y = Y, X
soma = 0
for c in range(X, Y+1):
    if c % 13 != 0:
        soma += c
print(soma)</t>
  </si>
  <si>
    <t>-</t>
  </si>
  <si>
    <t>Nenhum (código correto)</t>
  </si>
  <si>
    <t>Excelente trabalho! Seu programa atende perfeitamente a todos os requisitos do problema e trata corretamente todas as situações, inclusive quando o primeiro valor é maior que o segundo.</t>
  </si>
  <si>
    <t>Seu código está correto e pronto! Que tal tentar resolver o próximo desafio?</t>
  </si>
  <si>
    <t>Passou 10/10 casos de teste.</t>
  </si>
  <si>
    <t>Código correto: dica não é socrática, apenas encerra.</t>
  </si>
  <si>
    <t xml:space="preserve">x = int(input())
y = int(input())
naoDivisiveisPor13 = []
for numero in rage(x, y + 1):
    if numero % 13 != 0:
      naoDivisiveisPor13.append(numero)
soma = sum(naoDivisiveisPor13)
print('{}'.format(soma))
</t>
  </si>
  <si>
    <t>Seu código interrompe a execução logo no início da repetição por não reconhecer uma das funções utilizadas.</t>
  </si>
  <si>
    <t>Observe atentamente o nome da função que você chamou na linha 6 para gerar o intervalo numérico. O Python reconheceu esse nome exatamente como foi digitado?</t>
  </si>
  <si>
    <t>'rage' em vez de 'range' (NameError) na linha 6.</t>
  </si>
  <si>
    <t>x = int(input())
y = int(input())
naoDivisiveisPor13 = []
for numero in range(x, y + 1):
    if numero % 13 != 0:
      naoDivisiveisPor13.append(numero)
soma = sum(naoDivisiveisPor13)
print('{}'.format(soma))</t>
  </si>
  <si>
    <t>Seu código funciona muito bem quando o primeiro número lido é menor que o segundo. No entanto, o problema não garante a ordem de entrada dos valores.</t>
  </si>
  <si>
    <t>Simule a execução do seu programa quando a entrada for X = 200 e Y = 100. O que a função range(200, 101) produz e quantas vezes seu laço 'for' é executado?</t>
  </si>
  <si>
    <t>Não trata X &gt; Y (range(200,101) vazio).</t>
  </si>
  <si>
    <t>x = int(input())
y = int(input())
naoDivisiveisPor13 = []
for numero in range(x, y + 1):
    if numero % 13 != 0:
      naoDivisiveisPor13.append(numero)
soma = sum(naoDivisiveisPor13)
print(soma)</t>
  </si>
  <si>
    <t>Seu código funciona perfeitamente quando o primeiro número digitado é menor ou igual ao segundo. Contudo, em alguns cenários de entrada, o laço de repetição não chega a executar nenhuma vez.</t>
  </si>
  <si>
    <t>O que acontece na linha 6 se a entrada for X = 200 e Y = 100? Como a função range(200, 101) se comporta e qual seria a saída do seu programa nesse caso?</t>
  </si>
  <si>
    <t>x = int(input())
y = int(input())
if x &gt; y:
    x, y = y, x
soma = 0
for numero in range(x, y + 1):
    if numero % 13 != 0:
        soma += numero
print(soma)</t>
  </si>
  <si>
    <t>Parabéns! Seu código está muito bem estruturado e resolveu o problema perfeitamente.</t>
  </si>
  <si>
    <t>Sua solução passou em todos os casos de teste! Continue assim nos próximos exercícios.</t>
  </si>
  <si>
    <t>Código correto.</t>
  </si>
  <si>
    <t>X = int(input())
Y = int(input())
def naom13(X, Y):
    if X &gt; Y:
        X, Y = Y, X
    soma = 0
    for c in range(X, Y + 1):
        if c % 13 != 0:
            soma += c
    return soma
resultado = naom13(X, Y)
print(f'{resultado}')</t>
  </si>
  <si>
    <t>Excelente trabalho! Seu código está muito bem estruturado, lidou perfeitamente com a troca de variáveis quando X &gt; Y e tratou corretamente o intervalo inclusivo e os múltiplos de 13.</t>
  </si>
  <si>
    <t>Parabéns por resolver o problema! Que tal tentar resolver este mesmo exercício sem criar uma função auxiliar ou utilizando a função sum com uma 'generator expression'?</t>
  </si>
  <si>
    <t>Passa 10/10 em Python 3. (BeeCrowd deu Runtime error por f-string em Python antigo — problema de ambiente, não do código.)</t>
  </si>
  <si>
    <t>Código correto. BeeCrowd deu Runtime (f-string/ambiente); Gemini e gold concordam que o código está certo em Python 3.</t>
  </si>
  <si>
    <t>X = int(input())
Y = int(input())
def naom13(X, Y):
    if X &gt; Y:
        X, Y = Y, X
    soma = 0
    for c in range(X, Y + 1):
        if c % 13 != 0:
            soma += c
    return soma
resultado = naom13(X, Y)
print('{}'.format(resultado))</t>
  </si>
  <si>
    <t>Excelente trabalho! Sua lógica para inverter os valores quando X &gt; Y e a condição para ignorar os múltiplos de 13 funcionaram perfeitamente em todos os cenários.</t>
  </si>
  <si>
    <t>Para continuar praticando: como você poderia reescrever esse código sem a necessidade de definir uma função explicitamente, mantendo a mesma corretude?</t>
  </si>
  <si>
    <t>N = int(input())
if 0 &lt; N &lt; 13:
    valorNovo = 1
    for c in range(1, N + 1):
        valorNovo *= c
    print(valorNovo)
else:
    print("O valor de N deve estar no intervalo 0 &lt; N &lt; 13.")</t>
  </si>
  <si>
    <t>Excelente trabalho! Sua lógica para a verificação do intervalo e o cálculo do fatorial com o laço de repetição está totalmente correta e atende a todos os casos de teste.</t>
  </si>
  <si>
    <t>Como desafio adicional para expandir seu conhecimento: o que aconteceria com a execução do seu programa se a entrada fosse N = 0 e o problema exigisse que 0! = 1?</t>
  </si>
  <si>
    <t>Passou 6/6 casos de teste (0! não é testado: enunciado real garante 0 &lt; N).</t>
  </si>
  <si>
    <t>Boa recuperação: nesta rodada o 0! aparece como desafio hipotético ('se o problema exigisse'), não como erro. Diagnóstico bate com o gold.</t>
  </si>
  <si>
    <t>n = int(input())
if 0 &lt; n &lt; 13:
    resultadoFatorial = 1
for i in range(1, n + 1):
    resultadoFatorial *= 1
print(resultadoFatorial)</t>
  </si>
  <si>
    <t>Seu código roda sem erros de execução, mas a variável que deveria calcular o fatorial permanece com o mesmo valor a cada repetição do laço.</t>
  </si>
  <si>
    <t>Tente fazer um teste de mesa no papel para a entrada N = 4: a cada repetição do laço 'for', qual é o valor da variável 'i' e o que exatamente está acontecendo com 'resultadoFatorial' na linha 7?</t>
  </si>
  <si>
    <t>'resultadoFatorial *= 1' deveria multiplicar por i: resultado fica sempre 1.</t>
  </si>
  <si>
    <t>Excelente teste de mesa socrático.</t>
  </si>
  <si>
    <t>n = int(input())
if 0 &lt; n &lt; 13:
    resultadoFatorial = 1
while n &gt; 1
    resultadoFatorial *= n
    n -= 1
print(resultadoFatorial)</t>
  </si>
  <si>
    <t>O Python não conseguiu entender a declaração da sua estrutura de repetição na linha 6. Existe um detalhe de sintaxe ausente na linha do laço que impede o código de ser executado.</t>
  </si>
  <si>
    <t>Observe atentamente como você finalizou a instrução da linha 3 (`if`) e compare com a instrução da linha 6 (`while`). Qual sinal de pontuação é exigido pelo Python ao final da linha do cabeçalho dessas estruturas?</t>
  </si>
  <si>
    <t>Falta ':' no final do while (linha 6).</t>
  </si>
  <si>
    <t>N = int(input())
if 0 &lt; N &lt; 13:
    resultado_fatorial = 1
    for i in range(2, N + 1):
        resultado_fatorial *= i
    print(resultado_fatorial)
else:
    print("Por favor, insira um valor válido para N.")</t>
  </si>
  <si>
    <t>Excelente trabalho! Sua lógica para calcular o fatorial está perfeita e cobriu adequadamente o limite do problema.</t>
  </si>
  <si>
    <t>Que tal tentar resolver este mesmo problema utilizando recursão para praticar um conceito diferente?</t>
  </si>
  <si>
    <t>Passou 6/6 casos de teste.</t>
  </si>
  <si>
    <t>N = int(input())
fatorial = 1
for c in range(N, 0, -1):
    fatorial *= c
print('{}'.format(fatorial))</t>
  </si>
  <si>
    <t>Excelente trabalho! Seu código calculou corretamente o fatorial para todos os casos de teste propostos.</t>
  </si>
  <si>
    <t>Que tal testar mentalmente seu código com N = 0 para ver como o laço range se comporta nesse cenário limite?</t>
  </si>
  <si>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</si>
  <si>
    <t>O interpretador Python interrompeu a análise do seu código antes mesmo da execução por conta de um detalhe estrutural na linha 16.</t>
  </si>
  <si>
    <t>Observe atentamente os símbolos na linha 16: se você contar quantos parênteses foram abertos nessa instrução, quantos você encontra fechados na mesma linha?</t>
  </si>
  <si>
    <t>Parêntese aberto e não fechado no print (linha 16).</t>
  </si>
  <si>
    <t>Wrong answer (5%)</t>
  </si>
  <si>
    <t># -*- coding: utf-8 -*-
T = int(input("Digite o número de casos de teste: "))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</si>
  <si>
    <t>A sua estrutura condicional e a lógica do jogo estão perfeitas! Porém, a primeira linha de entrada está fazendo o seu programa exibir um texto que não deveria aparecer na saída final.</t>
  </si>
  <si>
    <t>O que acontece com a tela ou saída padrão do Python quando passamos um texto entre aspas dentro da função input()?</t>
  </si>
  <si>
    <t>input() com texto de prompt imprime o prompt na saída, quebrando a correção.</t>
  </si>
  <si>
    <t># -*- coding: utf-8 -*-
T = int(input())
if T &gt;= 1 and T &lt;= 100:
    for c in range(1, T+1):
        escolha_sheldon, escolha_raj = map(str,input().split())
        if escolha_sheldon == escolha_raj:
            print("Caso #{}: De novo!" .format(c))
        elif (escolha_sheldon == "tesoura" and (escolha_raj == "papel" or escolha_raj == "lagarto")) or \
        (escolha_sheldon == "papel" and (escolha_raj == "pedra" or escolha_raj == "Spock")) or \
        (escolha_sheldon == "pedra" and (escolha_raj == "lagarto" or escolha_raj == "tesoura")) or \
        (escolha_sheldon == "lagarto" and (escolha_raj == "Spock" or escolha_raj == "papel")) or \
        (escolha_sheldon == "Spock" and (escolha_raj == "tesoura" or escolha_raj == "pedra")):
            print("Caso #{}: Bazinga!" .format(c))
        else:
            print("Caso #{}: Raj trapaceou!" .format(c))</t>
  </si>
  <si>
    <t>Parabéns! Sua lógica está impecável e cobre todas as regras e combinações do jogo perfeitamente.</t>
  </si>
  <si>
    <t>Como desafio para reflexão: você sabia que pode usar uma estrutura de dados como dicionário para mapear o que cada escolha vence, deixando o código mais enxuto?</t>
  </si>
  <si>
    <t>Passou 4/4 casos de teste.</t>
  </si>
  <si>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</si>
  <si>
    <t>O Python não conseguiu começar a executar seu código devido a um problema no alinhamento das instruções (indentação) dentro do laço de repetição.</t>
  </si>
  <si>
    <t>Observe o início da linha 7 e compare o alinhamento dela com a instrução da linha 5. Os comandos dentro do mesmo bloco estão com a mesma quantidade de espaços?</t>
  </si>
  <si>
    <t>Indentação inconsistente (linha 7): IndentationError.</t>
  </si>
  <si>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</si>
  <si>
    <t>Notei que quando o programa recebe múltiplos casos de teste, ele lê todas as entradas de uma vez, mas não exibe uma resposta para cada rodada.</t>
  </si>
  <si>
    <t>Experimente simular o seu código no papel para o Caso 1 (onde N = 3). Quantas vezes a instrução 'print' é executada enquanto o laço 'for' está rodando?</t>
  </si>
  <si>
    <t>print fora do for: só imprime o último caso.</t>
  </si>
  <si>
    <t>t = int(input())
if t &lt;= 100:
    for caso in range(1, t + 1):
        escolha_sheldon, escolha_raj = input().split()
        if (
            (escolha_sheldon == "tesoura" and escolha_raj == "papel") or
            (escolha_sheldon == "papel" and escolha_raj == "pedra") or
            (escolha_sheldon == "pedra" and escolha_raj == "lagarto") or
            (escolha_sheldon == "lagarto" and escolha_raj == "Spock") or
            (escolha_sheldon == "Spock" and escolha_raj == "tesoura") or
            (escolha_sheldon == "tesoura" and escolha_raj == "lagarto") or
            (escolha_sheldon == "lagarto" and escolha_raj == "papel") or
            (escolha_sheldon == "papel" and escolha_raj == "Spock") or
            (escolha_sheldon == "Spock" and escolha_raj == "pedra") or
            (escolha_sheldon == "pedra" and escolha_raj == "tesoura")
        ):
            resultado = "Bazinga!"
        elif escolha_sheldon == escolha_raj:
            resultado = "De novo!"
        else:
            resultado = "Raj trapaceou!"
        print('Caso #{}: {}'.format(caso, resultado))</t>
  </si>
  <si>
    <t>Excelente trabalho! O seu código passou em todos os casos de teste e implementou a lógica do jogo perfeitamente.</t>
  </si>
  <si>
    <t>Como seu código está correto, que tal pensar em como simplificar essa grande estrutura de condicionais usando dicionários em Python?</t>
  </si>
  <si>
    <t>def vence(sheldon, rajesh):
    regras = {
        'tesoura': ['papel', 'lagarto'],
        'papel': ['pedra', 'Spock'],
        'pedra': ['lagarto', 'tesoura'],
        'lagarto': ['Spock', 'papel'],
        'Spock': ['tesoura', 'pedra']
    }
    if sheldon == rajesh:
        return 'De novo!'
    elif rajesh in regras[sheldon]:
        return 'Bazinga!'
    else:
        return 'Raj trapaceou!'
T = int(input())
for caso in range(1, T+1):
    sheldon, rajesh = input().split()
    resultado = vence(sheldon, rajesh)
    print('Caso #{}: {}'.format(caso, resultado))</t>
  </si>
  <si>
    <t>Excelente trabalho! Seu código está muito bem estruturado, a lógica das regras com dicionário ficou limpa e legível, e passou em todos os casos de teste.</t>
  </si>
  <si>
    <t>Que tal tentar resolver o problema com outra estrutura de dados ou criar novos casos de teste para praticar?</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</si>
  <si>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</si>
  <si>
    <t>O interpretador Python não conseguiu executar o programa porque encontrou uma falha na sintaxe do seu comando condicional.</t>
  </si>
  <si>
    <t>Compare a linha 8 (onde você escreveu o `if`) com a linha 14 (onde termina o seu `elif`). Qual símbolo o Python exige ao final de uma linha de condição para iniciar o bloco de código?</t>
  </si>
  <si>
    <t>Falta ':' no final do elif (linha 13).</t>
  </si>
  <si>
    <t>Wrong answer (25%)</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</si>
  <si>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else:
        print('rajesh')</t>
  </si>
  <si>
    <t>Seu código roda do início ao fim sem erros de execução, mas a lógica de atribuição das escolhas aos jogadores não reflete a ordem indicada no enunciado.</t>
  </si>
  <si>
    <t>Simule seu código com a entrada 'pedra tesoura'. Ao executar a linha de leitura das variáveis, qual valor é armazenado em 'sheldon' e qual fica em 'rajesh'? Essa atribuição coincide com a ordem em que as escolhas foram feitas no enunciado?</t>
  </si>
  <si>
    <t>Ordem de leitura trocada: inverte rajesh/sheldon.</t>
  </si>
  <si>
    <t>[RASCUNHO/juiz] Diagnóstico específico duvidoso (foca capitalização; Gold indica ordem de leitura) -- mesmo tipo (Lógica).</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</si>
  <si>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print('sheldon')</t>
  </si>
  <si>
    <t>O seu código tem a estrutura lógica das regras muito bem organizada, mas há um detalhe na mensagem impressa quando a rodada atende às condições do segundo 'elif'.</t>
  </si>
  <si>
    <t>Quando as condições do último 'elif' (onde são testadas as jogadas do Rajesh) são verdadeiras, qual é o texto exato que o seu programa imprime na tela?</t>
  </si>
  <si>
    <t>Imprime o nome errado no segundo elif (copia-e-cola).</t>
  </si>
  <si>
    <t># -*- coding: utf-8 -*-
C = int(input())
for c in range(1, C+1):
    sheldon, rajesh = map(str, input().split())
    if sheldon == rajesh:
        print('empate')
    elif (sheldon == 'tesoura' and (rajesh == 'papel' or rajesh == 'lagarto')) or \
    (sheldon == 'papel' and (rajesh == 'pedra' or rajesh == 'spock')) or \
    (sheldon == 'pedra' and (rajesh == 'lagarto' or rajesh == 'tesoura')) or \
    (sheldon == 'lagarto' and (rajesh == 'spock' or rajesh == 'papel')) or \
    (sheldon == 'spock' and (rajesh == 'tesoura' or rajesh == 'pedra')):
        print('sheldon')
    elif (rajesh == 'tesoura' and (sheldon == 'papel' or sheldon == 'lagarto')) or \
    (rajesh == 'papel' and (sheldon == 'pedra' or sheldon == 'spock')) or \
    (rajesh == 'pedra' and (sheldon == 'lagarto' or sheldon == 'tesoura')) or \
    (rajesh == 'lagarto' and (sheldon == 'spock' or sheldon == 'papel')) or \
    (rajesh == 'spock' and (sheldon == 'tesoura' or sheldon == 'pedra')):
        print('rajesh')</t>
  </si>
  <si>
    <t>Seu código executa sem erros e a lógica do jogo está muito bem estruturada! No entanto, a forma como as jogadas estão sendo associadas a cada jogador não corresponde à ordem descrita no enunciado.</t>
  </si>
  <si>
    <t>Se a entrada for 'pedra tesoura', qual valor a variável `sheldon` recebe e qual valor a variável `rajesh` recebe na linha 6? O que o seu código imprime ao processar essa entrada?</t>
  </si>
  <si>
    <t>Ordem de leitura trocada entre os jogadores.</t>
  </si>
  <si>
    <t># -*- coding: utf-8 -*-
C = int(input())
for c in range(C):
  rajesh = str(input())
  sheldon = str(input())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</si>
  <si>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Seu código interrompe a execução com um erro antes de conseguir processar todos os casos de teste. Isso acontece porque a forma de ler as entradas está consumindo as linhas mais rápido do que o esperado.</t>
  </si>
  <si>
    <t>Considere o Caso 1, onde a primeira linha após o número 6 é 'pedra tesoura'. Se você executar apenas a linha 'rajesh = str(input())', qual texto exato fica guardado na variável 'rajesh'?</t>
  </si>
  <si>
    <t>Duas chamadas input() separadas: consome as linhas na ordem errada -&gt; EOFError.</t>
  </si>
  <si>
    <t>[RASCUNHO/juiz] Diagnóstico coerente com Gold (leitura de entrada); tipo marcado Lógica vs Execução.</t>
  </si>
  <si>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</si>
  <si>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O interpretador Python encontrou um problema de sintaxe logo no início da leitura dos dados e não conseguiu executar o seu programa.</t>
  </si>
  <si>
    <t>Examine atentamente a linha 6. Se você contar cada parêntese aberto '(' e cada parêntese fechado ')', o que você nota sobre a quantidade deles?</t>
  </si>
  <si>
    <t>Parêntese aberto e não fechado em map() (linha 6).</t>
  </si>
  <si>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</si>
  <si>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O Python não conseguiu nem começar a executar o seu programa porque encontrou um problema de estrutura/sintaxe logo na leitura dos dados.</t>
  </si>
  <si>
    <t>Examine atentamente a linha 6. Se você contar a quantidade de parênteses abertos '(' e parênteses fechados ')', o que você nota?</t>
  </si>
  <si>
    <t># -*- coding: utf-8 -*-
C = int(input())
for c in range(C):
    rajesh, sheldon = map(str, input().split())
    if sheldon == rajesh:
        print('empate')
    elif (
    (sheldon == 'tesoura' and (rajesh == 'papel' or rajesh == 'lagarto')) or
    (sheldon == 'papel' and (rajesh == 'pedra' or rajesh == 'spock')) or
    (sheldon == 'pedra' and (rajesh == 'lagarto' or rajesh == 'tesoura')) or
    (sheldon == 'lagarto' and (rajesh == 'spock' or rajesh == 'papel')) or
    (sheldon == 'spock' and (rajesh == 'tesoura' or rajesh == 'pedra'))
    ):
        print('sheldon')
    else:
        print('rajesh')</t>
  </si>
  <si>
    <t>Parabéns! Seu código está muito bem estruturado e passou em todos os casos de teste com sucesso.</t>
  </si>
  <si>
    <t>Como desafio adicional para praticar, você saberia como simplificar essas várias condições 'and'/'or' utilizando uma estrutura de dados como dicionário ou listas?</t>
  </si>
  <si>
    <t>Código correto (confirmado por 4/4 casos de teste).</t>
  </si>
  <si>
    <t>C = int(input())
regras = {
    "tesoura": ["papel", "lagarto"],
    "papel": ["pedra", "Spock"],
    "pedra": ["lagarto", "tesoura"],
    "lagarto": ["Spock", "papel"],
    "Spock": ["tesoura", "pedra"]
}
de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</si>
  <si>
    <t>O Python encontrou um problema ao tentar entender a criação da sua função na linha 11, impedindo o programa de ser executado.</t>
  </si>
  <si>
    <t>Observe atentamente a palavra que você utilizou para iniciar a definição da função 'determinar_vencedor' na linha 11. Ela está escrita exatamente como o Python exige para declarar funções?</t>
  </si>
  <si>
    <t>'de' em vez de 'def' (linha 11): SyntaxError.</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</si>
  <si>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prit(resultado)</t>
  </si>
  <si>
    <t>Ao tentar executar seu código, o Python interrompe o programa na linha 24 com uma mensagem informando que um comando não foi reconhecido.</t>
  </si>
  <si>
    <t>Examine a linha 24: o nome do comando que você utilizou para exibir o resultado é reconhecido pelo Python?</t>
  </si>
  <si>
    <t>'prit' em vez de 'print' (linha 24): NameError.</t>
  </si>
  <si>
    <t>Wrong answer (10%)</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</si>
  <si>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</si>
  <si>
    <t>Seu programa é interrompido por um erro durante a execução ao tentar consultar o dicionário para algumas entradas.</t>
  </si>
  <si>
    <t>O que acontece se você simular a chamada `determinar_vencedor('spock', 'tesoura')`? Observe atentamente como as palavras chegam na entrada e como as chaves do dicionário `regras` foram cadastradas.</t>
  </si>
  <si>
    <t>Chave 'Spock' (maiúscula) no dicionário não bate com 'spock' da entrada -&gt; KeyError.</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</si>
  <si>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input().lower().split()
    resultado = determinar_vencedor(escolha_raj, escolha_sheldon)
    print(resultado)</t>
  </si>
  <si>
    <t>Seu código é bem estruturado, mas a execução é interrompida por um erro inesperado em rodadas nas quais um dos jogadores escolhe 'spock'.</t>
  </si>
  <si>
    <t>O que acontece no Python quando o seu código executa a função determinar_vencedor('spock', 'tesoura') e tenta acessar a chave 'spock' no dicionário regras?</t>
  </si>
  <si>
    <t>Mesmo KeyError de capitalização de 'spock' no dicionário.</t>
  </si>
  <si>
    <t>Seu código está bem estruturado, mas a execução interrompe com um erro ao tentar consultar as regras para certas entradas de teste.</t>
  </si>
  <si>
    <t>O que acontece ao tentar executar a função `determinar_vencedor('spock', 'tesoura')`? Como o dicionário `regras` reage a essa busca?</t>
  </si>
  <si>
    <t>Ao processar determinadas jogadas, o seu programa interrompe a execução com um erro de chave (KeyError) antes de conseguir responder.</t>
  </si>
  <si>
    <t>O que acontece ao rodar seu programa com a entrada 'spock tesoura'? Acompanhe o valor da variável 'escolha_raj' após a chamada de .lower() e verifique como ela é utilizada na linha 14 para consultar o dicionário 'regras'.</t>
  </si>
  <si>
    <t>[RASCUNHO/juiz] Simulação socrática bem detalhada.</t>
  </si>
  <si>
    <t>O seu código interrompe a execução com um erro de chave (KeyError) ao tentar consultar o dicionário 'regras' para determinadas entradas.</t>
  </si>
  <si>
    <t>O que acontece ao executar a função 'determinar_vencedor' passando 'spock' (em minúsculo) como primeiro argumento, considerando a forma como as chaves do dicionário 'regras' foram escritas?</t>
  </si>
  <si>
    <t>[RASCUNHO] Casos 3-7 (aluno 2): mesma causa raiz persistindo -- bom exemplo para checar se o Gemini identifica o erro repetido de forma consistente. [RASCUNHO] Casos 3-7 (aluno 2): mesma causa raiz persistindo -- bom exemplo para checar se o Gemini identifica o erro repetido de forma consistente.</t>
  </si>
  <si>
    <t>C = int(input())
regras = {
    "tesoura": ["papel", "lagarto"],
    "papel": ["pedra", "spock"],
    "pedra": ["lagarto", "tesoura"],
    "lagarto": ["spock", "papel"],
    "Spock": ["tesoura", "pedra"]
}
def determinar_vencedor(escolha_raj, escolha_sheldon):
    if escolha_raj == escolha_sheldon:
        return "empate"
    elif escolha_sheldon in regras[escolha_raj]:
        return "rajesh"
    else:
        return "sheldon"
for caso in range(C):
    escolha_raj, escolha_sheldon = input().split()
    resultado = determinar_vencedor(escolha_raj, escolha_sheldon)
    print(resultado)</t>
  </si>
  <si>
    <t>Seu código possui uma estrutura lógica muito boa, mas interrompe a execução com um erro ao tentar consultar as regras para uma das jogadas específicas.</t>
  </si>
  <si>
    <t>O que acontece ao rodar seu código com a entrada 'spock tesoura'? Verifique atentamente como o nome de cada jogada foi escrito nas chaves do dicionário 'regras'.</t>
  </si>
  <si>
    <t>Chave 'Spock' (maiúscula, linha 8) não bate com 'spock' da entrada -&gt; KeyError. BeeCrowd deu Accepted mas o código quebra: bug real não coberto pelo juiz.</t>
  </si>
  <si>
    <t>VERDADEIRO POSITIVO confirmado pelos casos de teste: BeeCrowd deu Accepted, mas o código quebra com 'spock' minúsculo (KeyError). Gemini acertou onde o juiz falhou.</t>
  </si>
  <si>
    <t>def vence(rajesh, sheldon):
    regras = {
        'tesoura': ['papel', 'lagarto'],
        'papel': ['pedra', 'spock'],
        'pedra': ['lagarto', 'tesoura'],
        'lagarto': ['spock', 'papel'],
        'spock': ['tesoura', 'pedra']
    }
    if rajesh == sheldon:
        return "empate"
    elif sheldon in regras[rajesh]:
        return "rajesh"
    else:
        return "sheldon"
C = int(input())
for _ in range(C):
    rajesh, sheldon = input().split()
    resultado = vence(rajesh, sheldon)
    print(resultado)</t>
  </si>
  <si>
    <t>Excelente trabalho! Sua lógica utilizando um dicionário para mapear as vitórias ficou muito limpa e eficiente, passando em todos os testes.</t>
  </si>
  <si>
    <t>Como desafio adicional de boas práticas: percebeu que o dicionário `regras` é recriado a cada chamada da função? Como você moveria esse dicionário para fora da função para evitar recriá-lo várias vezes?</t>
  </si>
  <si>
    <t>x = int(input())
y = int(input())
if x &gt; y:
    x, y = y, x
soma = 0
for i in range(x, y + 1):
    if i % 13 == 0:
        soma += i
print(soma)</t>
  </si>
  <si>
    <t>Seu programa executa sem erros e lida muito bem com a ordenação dos valores de entrada! No entanto, a condição que decide se um número deve ser somado não está selecionando os números corretos requeridos no problema.</t>
  </si>
  <si>
    <t>Se você executar seu código para as entradas X = 1 e Y = 12, quais números satisfazem a condição 'if i % 13 == 0' e acabam sendo somados?</t>
  </si>
  <si>
    <t>Condição invertida ('% 13 == 0'): soma justamente os múltiplos de 13.</t>
  </si>
  <si>
    <t>[RASCUNHO] Caso Sintético (Caso 44)</t>
  </si>
  <si>
    <t>Syntax error</t>
  </si>
  <si>
    <t>x = int(input())
y = int(input())
if x &gt; y
    x, y = y, x
soma = 0
for i in range(x, y + 1):
    if i % 13 != 0:
        soma += i
print(soma)</t>
  </si>
  <si>
    <t>O interpretador Python não conseguiu iniciar a execução do seu programa devido a uma falha na estrutura sintática de uma condição.</t>
  </si>
  <si>
    <t>Observe com atenção a linha 4 e compare a estrutura dela com a instrução 'if' que você escreveu na linha 9. O que está presente na linha 9 ao final da condição que não foi colocado na linha 4?</t>
  </si>
  <si>
    <t>Falta ':' no final da condição (linha 4).</t>
  </si>
  <si>
    <t>[RASCUNHO] Caso Sintético (Caso 45)</t>
  </si>
  <si>
    <t>n = int(input())
fatorial = 0
for i in range(1, n + 1):
    fatorial *= i
print(fatorial)</t>
  </si>
  <si>
    <t>Seu código executa perfeitamente sem erros de sintaxe, mas o valor exibido ao final não está correto.</t>
  </si>
  <si>
    <t>Tente fazer o teste de mesa no papel para a entrada 4: qual é o valor da variável 'fatorial' logo antes do laço e qual valor ela assume após a primeira iteração (quando i = 1)?</t>
  </si>
  <si>
    <t>'fatorial' inicializado como 0: multiplicação zera tudo, resultado sempre 0.</t>
  </si>
  <si>
    <t>[RASCUNHO] Caso Sintético (Caso 46)</t>
  </si>
  <si>
    <t>n = int(input())
fat = 1
for i in range(1, n):
    fat *= i
print(fat)</t>
  </si>
  <si>
    <t>Seu código executa perfeitamente sem erros de sintaxe, porém o cálculo do fatorial não está considerando todos os fatores necessários para chegar ao resultado correto.</t>
  </si>
  <si>
    <t>Simule o seu código no papel para a entrada `n = 4`: quais são todos os valores que a variável `i` assume dentro da repetição?</t>
  </si>
  <si>
    <t>range do fatorial não cobre todos os fatores: resultado menor que o correto.</t>
  </si>
  <si>
    <t>[RASCUNHO] Caso Sintético (Caso 47)</t>
  </si>
  <si>
    <t>Presentation Error</t>
  </si>
  <si>
    <t>n = int(input())
for i in range(1, n + 1):
    sheldon, raj = input().split()
    if sheldon == raj:
        print(f"Caso {i}: De novo!")
    elif (sheldon == "tesoura" and raj == "papel") or \
         (sheldon == "papel" and raj == "pedra") or \
         (sheldon == "pedra" and raj == "lagarto") or \
         (sheldon == "lagarto" and raj == "Spock") or \
         (sheldon == "Spock" and raj == "tesoura") or \
         (sheldon == "tesoura" and raj == "lagarto") or \
         (sheldon == "lagarto" and raj == "papel") or \
         (sheldon == "papel" and raj == "Spock") or \
         (sheldon == "Spock" and raj == "pedra") or \
         (sheldon == "pedra" and raj == "tesoura"):
        print(f"Caso {i}: Bazinga!")
    else:
        print(f"Caso {i}: Raj trapaceou!")</t>
  </si>
  <si>
    <t>Sua lógica para verificar quem ganha ou empata a partida está excelente e cobriu todas as regras do jogo! No entanto, o sistema automático rejeitou a resposta por conta da formatação exata da mensagem gerada.</t>
  </si>
  <si>
    <t>Observe atentamente a mensagem de saída exigida no enunciado e compare com o texto que seu programa imprime dentro do `print`. O que deve aparecer logo antes do número do caso?</t>
  </si>
  <si>
    <t>Formato de saída: imprime 'Caso 1:' em vez de 'Caso #1:' (falta o '#').</t>
  </si>
  <si>
    <t>Melhorou vs rodada anterior: não vaza mais o formato literal 'Caso #1:'; agora só pergunta o que falta antes do número.</t>
  </si>
  <si>
    <t>t = int(input())
for i in range(1, t + 1):
    jogadas = input().split(",")
    s = jogadas[0]
    r = jogadas[1]
    if s == r:
        print(f"Caso #{i}: De novo!")
    elif (s == "tesoura" and r == "papel") or (s == "papel" and r == "pedra") or (s == "pedra" and r == "lagarto") or (s == "lagarto" and r == "Spock") or (s == "Spock" and r == "tesoura") or (s == "tesoura" and r == "lagarto") or (s == "lagarto" and r == "papel") or (s == "papel" and r == "Spock") or (s == "Spock" and r == "pedra") or (s == "pedra" and r == "tesoura"):
        print(f"Caso #{i}: Bazinga!")
    else:
        print(f"Caso #{i}: Raj trapaceou!")</t>
  </si>
  <si>
    <t>Seu código interrompe a execução com uma mensagem de erro logo no início da leitura dos casos de teste.</t>
  </si>
  <si>
    <t>Se você executar a instrução `'tesoura papel'.split(',')` no Python, qual lista é gerada e quantos elementos ela possui?</t>
  </si>
  <si>
    <t>split(',') com entrada separada por espaço: lista com 1 elemento -&gt; IndexError.</t>
  </si>
  <si>
    <t>Dica beira revelar: aponta split(',') vs espaço de forma quase explícita.</t>
  </si>
  <si>
    <t>Wrong answer(100%)</t>
  </si>
  <si>
    <t>c = int(input())
for _ in range(c):
    rajesh, sheldon = input().split()
    if rajesh == sheldon:
        print("empate")
    elif (rajesh == "tesoura" and sheldon == "papel") or \
         (rajesh == "papel" and sheldon == "pedra") or \
         (rajesh == "pedra" and sheldon == "lagarto") or \
         (rajesh == "lagarto" and sheldon == "Spock") or \
         (rajesh == "Spock" and sheldon == "tesoura") or \
         (rajesh == "tesoura" and sheldon == "lagarto") or \
         (rajesh == "lagarto" and sheldon == "papel") or \
         (rajesh == "papel" and sheldon == "Spock") or \
         (rajesh == "Spock" and sheldon == "pedra") or \
         (rajesh == "pedra" and sheldon == "tesoura"):
        print("Rajesh")
    else:
        print("Sheldon")</t>
  </si>
  <si>
    <t>Seu código está muito bem estruturado e a lógica do jogo está quase perfeita! No entanto, pequenos detalhes na formatação do texto exibido podem fazer com que o sistema não reconheça a resposta.</t>
  </si>
  <si>
    <t>Ao executar o seu programa com a entrada 'pedra tesoura', observe atentamente a palavra exata que o seu 'print' exibe na tela. O enunciado do problema pede o nome em maiúsculas ou minúsculas?</t>
  </si>
  <si>
    <t>Formato de saída: nomes com inicial maiúscula ('Rajesh'/'Sheldon') em vez de minúscula.</t>
  </si>
  <si>
    <t>[RASCUNHO] Caso Sintético (Caso 50) - Pode ser classificado também como erro de lógica/regras pelo LLM. | [RASCUNHO/juiz] BUG DE PROMPT: a dica vazou o placeholder literal ' [Descrição do Problema] ' na saída ao aluno.</t>
  </si>
  <si>
    <t>Local_is_correct</t>
  </si>
  <si>
    <t>Local_linha_erro</t>
  </si>
  <si>
    <t>Local_tipo_erro</t>
  </si>
  <si>
    <t>Local_feedback_formativo</t>
  </si>
  <si>
    <t>Local_dica_acao</t>
  </si>
  <si>
    <t>Seu código não considera que X pode ser maior que Y. Isso afeta a construção do intervalo.</t>
  </si>
  <si>
    <t>Simule seu código no papel com os valores X=200 e Y=100. O que o range(X, Y) produz? Será que ele itera corretamente?</t>
  </si>
  <si>
    <t>Seu código tem um erro de sintaxe. Preste atenção na estrutura do laço for.</t>
  </si>
  <si>
    <t>Simule seu código no papel com a entrada X=10 e Y=15. O que acontece quando você tenta executar o laço? Você esqueceu algum caractere importante após a linha 'for c in range(X, Y + 1)'?</t>
  </si>
  <si>
    <t>Seu código tem um erro de sintaxe na leitura da entrada. Tente executar o programa e veja se ele roda corretamente.</t>
  </si>
  <si>
    <t>Tente rodar seu código no interpretador do Python. O que acontece quando você digita 'X = int(input())' em uma linha? Será que isso é permitido?</t>
  </si>
  <si>
    <t>Há um erro na forma como os valores de entrada são lidos. Preste atenção na sintaxe usada para ler X e Y.</t>
  </si>
  <si>
    <t>Simule seu código no papel com a entrada: X = 10, Y = 20. O que acontece quando você tenta executar essa parte do programa?</t>
  </si>
  <si>
    <t>Seu código tem um erro de sintaxe que impede sua execução. Tente verificar a forma correta de usar o método split() e map().</t>
  </si>
  <si>
    <t>Tente executar seu programa com os valores X=100 e Y=200 (como no caso padrão). O que acontece quando você tenta ler esses valores? Você pode verificar se está usando corretamente a sintaxe de split() e map().</t>
  </si>
  <si>
    <t>Há um erro na forma como você está lendo os valores de entrada. Tente pensar em como garantir que X e Y sejam atribuídos corretamente a partir da linha de comando.</t>
  </si>
  <si>
    <t>Tente executar seu código com a entrada '100 200'. O que acontece? Como você poderia ajustar a leitura dos valores para funcionar corretamente?</t>
  </si>
  <si>
    <t>Seu código não considera a ordem dos valores de entrada. Quando X é maior que Y, o intervalo gerado pelo range pode ser vazio.</t>
  </si>
  <si>
    <t>Simule seu código no papel com os valores X=200 e Y=100. Quantas vezes o laço for será executado? O comportamento esperado é diferente?</t>
  </si>
  <si>
    <t>O código está com um problema na lógica para verificar múltiplos de 13.</t>
  </si>
  <si>
    <t>Teste a condição 'c % 13 != 0' manualmente com o número -26. O que ela retorna? Esse valor é múltiplo de 13?</t>
  </si>
  <si>
    <t>Parece que há um pequeno erro de digitação na hora de escrever a função usada no laço.</t>
  </si>
  <si>
    <t>Você já usou 'range' em outros exercícios. Qual é o nome correto da função que gera uma sequência numérica? Tente executar seu código com os valores X=100 e Y=200, o que acontece?</t>
  </si>
  <si>
    <t>Seu código tem uma falha na lógica do intervalo quando X é maior que Y.</t>
  </si>
  <si>
    <t>Simule seu código no papel com a entrada: X=200 e Y=100. Quantos números o laço for percorre? O resultado está correto?</t>
  </si>
  <si>
    <t>Seu código tem um problema com a ordem dos valores. Tente pensar: o que acontece quando X é maior que Y?</t>
  </si>
  <si>
    <t>Simule seu código no papel com os valores X=200 e Y=100. O laço for será executado? Qual será o resultado da soma?</t>
  </si>
  <si>
    <t>Seu código está funcionando corretamente para todos os casos testados!</t>
  </si>
  <si>
    <t>Você pode verificar se seu programa funciona com a entrada: x = 13 e y = 15. O que ele retorna nesse caso?</t>
  </si>
  <si>
    <t>Seu código está funcionando perfeitamente para todos os casos testados!</t>
  </si>
  <si>
    <t>Você pode verificar se seu código funciona corretamente com o caso de teste onde X=10 e Y=20. Qual a soma dos números não múltiplos de 13 nesse intervalo?</t>
  </si>
  <si>
    <t>Parece que há uma falha na lógica para verificar múltiplos de 13 em certos intervalos, especialmente com números negativos.</t>
  </si>
  <si>
    <t>Simule seu código mentalmente com a entrada X=-14 e Y=-12. Quantos números entre esses dois (inclusive) são considerados múltiplos de 13? E o que isso significa para sua soma?</t>
  </si>
  <si>
    <t>Seu código está bem estruturado e resolve corretamente os casos de teste.</t>
  </si>
  <si>
    <t>Teste seu código com a entrada N = 0. O que ele imprime? Será que essa entrada é válida segundo o enunciado?</t>
  </si>
  <si>
    <t>Seu código está multiplicando o resultado por 1 a cada iteração, em vez de usar o valor correto.</t>
  </si>
  <si>
    <t>Simule seu código no papel com a entrada N=4. Quantas vezes o laço executa? O que é multiplicado em cada iteração?</t>
  </si>
  <si>
    <t>Seu código apresenta um erro de sintaxe. Confira se todos os comandos estão com a pontuação correta.</t>
  </si>
  <si>
    <t>Simule seu código no papel com N=5. O que acontece quando ele tenta executar o laço while? Você pode verificar se há algum caractere faltando na linha do while?</t>
  </si>
  <si>
    <t>Há uma condição de validação que pode deixar passar um caso especial não tratado.</t>
  </si>
  <si>
    <t>Simule seu código no papel com a entrada N=0. O que ele faz? Ele aceita ou rejeita essa entrada?</t>
  </si>
  <si>
    <t>Seu código está funcionando corretamente para os casos testados!</t>
  </si>
  <si>
    <t>Simule seu código no papel com a entrada N=0. O que acontece com o laço for?</t>
  </si>
  <si>
    <t>Seu código tem um erro de sintaxe que impede a execução. Preste atenção na estrutura das chamadas de função e parênteses.</t>
  </si>
  <si>
    <t>Simule o código com a entrada 'Spock papel' e veja se ele roda sem erros. Onde você fecha o parêntese da chamada ao .format()?</t>
  </si>
  <si>
    <t>Seu código apresenta um erro de sintaxe que impede sua execução. Preste atenção na estrutura das condições.</t>
  </si>
  <si>
    <t>Simule o código com a entrada '1\nSpock pedra'. O que acontece quando ele tenta executar essa linha? Você percebe algum problema com os parênteses?</t>
  </si>
  <si>
    <t>Seu código tem um erro de sintaxe que impede sua execução. Preste atenção nos parênteses.</t>
  </si>
  <si>
    <t>Tente executar seu código com a entrada do Caso 1 (tesoura papel). O que acontece? Você consegue identificar onde está o problema na linha do if?</t>
  </si>
  <si>
    <t>Parece que há um problema na indentação do bloco condicional. Vamos verificar se o código roda corretamente com uma entrada simples.</t>
  </si>
  <si>
    <t>Tente executar seu código com a entrada: 1\nSpock pedra. O que acontece? Você consegue identificar onde está o erro de indentação?</t>
  </si>
  <si>
    <t>Parece que seu código tem um problema com a indentação do bloco de código dentro do laço.</t>
  </si>
  <si>
    <t>Simule o comportamento do seu código no papel para a entrada: 2, tesoura papel e depois pedra Spock. Quantas vezes o laço executa? O que acontece com as variáveis escolha_sheldon e escolha_raj após cada iteração?</t>
  </si>
  <si>
    <t>Parece que algumas regras de vitória não foram consideradas completamente.</t>
  </si>
  <si>
    <t>Teste seu código mentalmente com a entrada 'tesoura lagarto'. O que ele imprime? Será que essa é uma jogada válida onde Sheldon vence?</t>
  </si>
  <si>
    <t>Seu código está rodando corretamente para todos os casos testados!</t>
  </si>
  <si>
    <t>Teste seu código com a entrada 'Spock Spock'. O que ele imprime? Compare isso com o comportamento esperado.</t>
  </si>
  <si>
    <t>Você tem um erro na estrutura da condição. Preste atenção em como os parênteses e a indentação estão organizados.</t>
  </si>
  <si>
    <t>Simule seu código mentalmente com a entrada 'pedra tesoura'. Ele entra no bloco que imprime 'sheldon'? Por quê?</t>
  </si>
  <si>
    <t>Seu código está com a lógica de vitória invertida.</t>
  </si>
  <si>
    <t>Simule seu código no papel com a entrada 'pedra tesoura'. O que ele imprime? A regra do jogo diz que pedra esmaga tesoura — quem vence?</t>
  </si>
  <si>
    <t>Seu código apresenta um erro de sintaxe. Talvez tenha esquecido algum parêntese ou vírgula.</t>
  </si>
  <si>
    <t>Tente executar seu código com a entrada '1\npedra papel'. Ele vai falhar? Por quê?</t>
  </si>
  <si>
    <t>Parece que há um problema com a estrutura das condições lógicas. Tente verificar se todos os parênteses estão fechados corretamente.</t>
  </si>
  <si>
    <t>Tente executar o código com a entrada: '1\npedra papel'. O que acontece? Preste atenção na forma como as expressões condicionais são escritas e se há algum parêntese faltando.</t>
  </si>
  <si>
    <t>Tente executar seu código no Python e veja qual mensagem de erro é exibida. O problema está relacionado a uma falta de parêntese em uma das linhas condicionais.</t>
  </si>
  <si>
    <t>Parece que há um erro de sintaxe no código. Talvez tenha faltado algum caractere na construção das condições.</t>
  </si>
  <si>
    <t>Tente executar seu programa com a entrada '1\npedra papel'. O que acontece?</t>
  </si>
  <si>
    <t>Parece que há um problema na forma como você está lendo as entradas. Tente verificar se todos os parênteses estão fechados corretamente.</t>
  </si>
  <si>
    <t>Tente executar o programa com a entrada: '6\npedra tesoura'. O que acontece quando você tenta ler essa linha? Você consegue identificar onde está faltando um caractere?</t>
  </si>
  <si>
    <t>Seu código tem uma lógica de vitória que pode estar invertida ou incompleta. Tente verificar com mais atenção como cada jogada vence a outra.</t>
  </si>
  <si>
    <t>Simule seu código no papel com as entradas 'lagarto spock' e 'tesoura pedra'. Quantas vezes o laço executa? E qual saída ele imprime para cada uma?</t>
  </si>
  <si>
    <t>Parece que há um erro de sintaxe no código. Preste atenção na forma como você declarou a função.</t>
  </si>
  <si>
    <t>Simule seu código com a entrada 'pedra tesoura' e veja se ele roda corretamente. O que acontece quando você tenta executar o programa?</t>
  </si>
  <si>
    <t>Parece que há um pequeno erro de digitação na hora de imprimir o resultado.</t>
  </si>
  <si>
    <t>Simule seu código no papel com a entrada 'pedra tesoura'. O que ele imprime? Você consegue ver qual parte do código está errada?</t>
  </si>
  <si>
    <t>Seu código tem um problema na lógica de determinação do vencedor.</t>
  </si>
  <si>
    <t>Simule seu código no papel com a entrada 'tesoura spock'. O que ele retorna como resultado? E o que deveria ser o resultado correto?</t>
  </si>
  <si>
    <t>Parece que há uma confusão na lógica de verificação do vencedor. Tente simular com um caso simples para perceber onde o erro ocorre.</t>
  </si>
  <si>
    <t>Simule seu código no papel com a entrada 'tesoura pedra'. O que ele retorna? E qual deveria ser o resultado correto?</t>
  </si>
  <si>
    <t>Parece que há uma inconsistência entre o formato das palavras usadas no dicionário e as entradas do programa.</t>
  </si>
  <si>
    <t>Simule seu código com a entrada 'spock spock'. O que acontece quando você tenta acessar regras['spock']? E qual é a chave correta dentro do dicionário?</t>
  </si>
  <si>
    <t>Há um problema na forma como você está comparando as escolhas. Tente pensar se a lógica do dicionário está sendo usada corretamente em todos os casos.</t>
  </si>
  <si>
    <t>Simule seu código mentalmente com a entrada 'pedra tesoura'. O que ele retorna? E o que deveria retornar?</t>
  </si>
  <si>
    <t>Seu código tem um problema na lógica de comparação entre as escolhas. Tente simular com entradas específicas para perceber onde a regra não está sendo aplicada corretamente.</t>
  </si>
  <si>
    <t>Simule seu código no papel com a entrada 'tesoura spock'. Qual resultado ele produz? E o que você espera que seja?</t>
  </si>
  <si>
    <t>Parece haver um problema com a forma como as chaves estão definidas no dicionário de regras.</t>
  </si>
  <si>
    <t>Simule seu código mentalmente com a entrada 'spock tesoura'. O que acontece quando você tenta acessar o dicionário com a chave 'spock'?</t>
  </si>
  <si>
    <t>Seu código está quase certo, mas há uma falha na lógica de como as regras são aplicadas.</t>
  </si>
  <si>
    <t>Simule seu código mentalmente com a entrada 'papel lagarto'. O que ele retorna? E o que deveria retornar segundo as regras do jogo?</t>
  </si>
  <si>
    <t>Você está somando os números que são múltiplos de 13, mas o problema pede a soma dos NÃO múltiplos.</t>
  </si>
  <si>
    <t>Simule seu código no papel com a entrada X=1 e Y=1. Qual valor ele imprime? E qual deveria ser o resultado correto para essa entrada?</t>
  </si>
  <si>
    <t>Parece que há um erro na linha do comando 'if'.</t>
  </si>
  <si>
    <t>Simule seu código com a entrada X=200 e Y=100. O que acontece quando você tenta executar o if sem os dois pontos no final?</t>
  </si>
  <si>
    <t>O valor inicial da variável fatorial está incorreto, o que faz com que todo o cálculo seja anulado.</t>
  </si>
  <si>
    <t>Simule seu código no papel com N=4. Qual é o valor de fatorial após a primeira iteração do laço? E depois da segunda?</t>
  </si>
  <si>
    <t>Seu código está quase certo, mas parece que ele não está incluindo um valor importante no cálculo.</t>
  </si>
  <si>
    <t>Simule seu código mentalmente com a entrada N=4. Quantas vezes o laço executa? E qual seria o resultado final?</t>
  </si>
  <si>
    <t>Seu código está verificando regras de vitória incorretamente. Tente pensar com mais cuidado sobre quem vence em cada par de jogadas.</t>
  </si>
  <si>
    <t>Simule seu código no papel com a entrada 'Spock tesoura'. O que ele imprime? E o resultado correto deveria ser?</t>
  </si>
  <si>
    <t>Parece que o código não está lendo corretamente as entradas. Verifique como você está separando os valores.</t>
  </si>
  <si>
    <t>Simule seu código com a entrada 'Spock pedra'. O que acontece quando você faz split(',') nessa linha? Você consegue identificar qual parte da jogada está sendo armazenada em s e r?</t>
  </si>
  <si>
    <t>Seu código não cobriu todas as regras do jogo. Tente verificar se há combinações de escolhas que podem resultar em vitória para rajesh, mas seu algoritmo ainda não está capturando esses casos.</t>
  </si>
  <si>
    <t>Simule seu código com a entrada 'pedra tesoura'. O que ele imprime? Será que essa é realmente a saída correta?</t>
  </si>
  <si>
    <t>Total de casos avaliados</t>
  </si>
  <si>
    <t>Casos com diagnóstico preenchido</t>
  </si>
  <si>
    <t>% Diagnóstico correto (tipo de erro)</t>
  </si>
  <si>
    <t>Média - Não revela solução</t>
  </si>
  <si>
    <t>Média - Foco em um único erro</t>
  </si>
  <si>
    <t>Média - Qualidade socrática</t>
  </si>
  <si>
    <t>Média - Clareza</t>
  </si>
  <si>
    <t>Média - Tom motivacional</t>
  </si>
  <si>
    <t>Por problema</t>
  </si>
  <si>
    <t>Problema</t>
  </si>
  <si>
    <t>% Diagnóstico correto</t>
  </si>
  <si>
    <t>Média Qualidade Socrática</t>
  </si>
  <si>
    <t>Coluna</t>
  </si>
  <si>
    <t>O que significa e como preencher</t>
  </si>
  <si>
    <t>Gemini_*</t>
  </si>
  <si>
    <t>Preenchidas automaticamente pelo script avaliar_lote.py, a partir do JSON retornado pelo modelo.</t>
  </si>
  <si>
    <t>Gold_tipo_erro / Gold_linha_erro</t>
  </si>
  <si>
    <t>Padrão-ouro. Compare o código desta tentativa com a PRÓXIMA tentativa do mesmo aluno/problema: a diferença entre elas geralmente revela o que foi corrigido. Se o Status_Original já é 'Accepted', use 'Nenhum (código correto)'. Preenchido manualmente (rápido: normalmente é só olhar o diff).</t>
  </si>
  <si>
    <t>Uma frase curta descrevendo a correção real (ex.: 'faltavam dois-pontos no for').</t>
  </si>
  <si>
    <t>Fórmula automática: 1 se Gemini_tipo_erro bate com Gold_tipo_erro, 0 caso contrário.</t>
  </si>
  <si>
    <t>Nao_Revela_Solucao (1-5)</t>
  </si>
  <si>
    <t>5 = não entrega a solução em nenhuma forma (nem em texto). 3 = insinua fortemente o que fazer. 1 = entrega a correção pronta (viola a regra 1 do prompt).</t>
  </si>
  <si>
    <t>Foco_Unico_Erro (1-5)</t>
  </si>
  <si>
    <t>5 = trata explicitamente de um único erro por vez, como pedido no prompt. 1 = mistura vários erros na mesma resposta.</t>
  </si>
  <si>
    <t>Qualidade_Socratica (1-5)</t>
  </si>
  <si>
    <t>5 = a dica_acao é de fato uma pergunta guiada/caso de teste que leva o aluno a descobrir sozinho. 1 = é uma instrução direta disfarçada de pergunta.</t>
  </si>
  <si>
    <t>Clareza (1-5)</t>
  </si>
  <si>
    <t>5 = linguagem clara e adequada a um iniciante. 1 = confuso ou usa jargão excessivo.</t>
  </si>
  <si>
    <t>Tom_Motivacional (1-5)</t>
  </si>
  <si>
    <t>5 = encoraja o aluno. 1 = tom seco ou desmotivador.</t>
  </si>
  <si>
    <t>Qualquer observação qualitativa relevante (ex.: alucinação, erro de linha, resposta vaga).</t>
  </si>
  <si>
    <t>Métrica</t>
  </si>
  <si>
    <t>Gemini</t>
  </si>
  <si>
    <t>Qwen3-Coder-30B-A3B-Instruct-UD-Q8_K_XL (local, llama.cpp)</t>
  </si>
  <si>
    <t>Diferença</t>
  </si>
  <si>
    <t>Casos avaliados</t>
  </si>
  <si>
    <t>Concordância entre os dois modelos</t>
  </si>
  <si>
    <t>Linhas em que ambos deram o mesmo tipo de erro</t>
  </si>
  <si>
    <t>% de concordância</t>
  </si>
  <si>
    <t>% Diagnóstico correto por problema</t>
  </si>
  <si>
    <t>P0_is_correct</t>
  </si>
  <si>
    <t>P0_linha_erro</t>
  </si>
  <si>
    <t>P0_tipo_erro</t>
  </si>
  <si>
    <t>P0_feedback_formativo</t>
  </si>
  <si>
    <t>P0_dica_acao</t>
  </si>
  <si>
    <t>fb simulado</t>
  </si>
  <si>
    <t>dica simulada</t>
  </si>
  <si>
    <t>P2_is_correct</t>
  </si>
  <si>
    <t>P2_linha_erro</t>
  </si>
  <si>
    <t>P2_tipo_erro</t>
  </si>
  <si>
    <t>P2_feedback_formativo</t>
  </si>
  <si>
    <t>P2_dica_acao</t>
  </si>
  <si>
    <t>P0 — Baseline ingênuo (sem regras, sem casos de teste, sem LoT)</t>
  </si>
  <si>
    <t>P2 — Regras pedagógicas + casos de teste (sem LoT)</t>
  </si>
  <si>
    <t>P3 — Completo: regras + casos de teste + Logic-of-Thought</t>
  </si>
  <si>
    <t>Falsos positivos (viu erro em código correto)</t>
  </si>
  <si>
    <t>Submissões corretas no gabarito</t>
  </si>
  <si>
    <t>Falsos positivos</t>
  </si>
  <si>
    <t>Taxa de falso positivo</t>
  </si>
  <si>
    <t>Falsos negativos (disse 'correto' em código com erro)</t>
  </si>
  <si>
    <t>P0</t>
  </si>
  <si>
    <t>P2</t>
  </si>
  <si>
    <t>P3</t>
  </si>
  <si>
    <t>Ganho por componente do prompt</t>
  </si>
  <si>
    <t>P2 - P0  (efeito das regras + casos de teste)</t>
  </si>
  <si>
    <t>P3 - P2  (efeito do Logic-of-Thought)</t>
  </si>
  <si>
    <t>[RASCUNHO/juiz] Diagnóstico errado (aponta X&gt;Y; o real é falta de ':' no for). FB revela a falha que supôs.</t>
  </si>
  <si>
    <t>[RASCUNHO/juiz] Cita a linha exata do for, revelando levemente a localização.</t>
  </si>
  <si>
    <t>[RASCUNHO/juiz] FALSO DIAGNÓSTICO: chama 'X = int(input())' de erro de sintaxe (é código válido). A dica induz o aluno a um erro inexistente.</t>
  </si>
  <si>
    <t>[RASCUNHO/juiz] Classificou Sintaxe; o real é Execução (AttributeError).</t>
  </si>
  <si>
    <t>[RASCUNHO/juiz] Aponta split()/map() diretamente. Classificou Sintaxe; o real é Execução.</t>
  </si>
  <si>
    <t>[RASCUNHO/juiz] Classificou Sintaxe; o real é Execução.</t>
  </si>
  <si>
    <t>[RASCUNHO/juiz] Diagnóstico correto; FB entrega o raciocínio (intervalo vazio).</t>
  </si>
  <si>
    <t>[RASCUNHO/juiz] FALSO POSITIVO: código passa 10/10, mas o modelo alega falha com -26. A dica parte de premissa incorreta.</t>
  </si>
  <si>
    <t>[RASCUNHO/juiz] REVELA: pergunta o nome correto da função, entregando a correção de 'rage'-&gt;'range'.</t>
  </si>
  <si>
    <t>[RASCUNHO/juiz] FB revela a causa (X&gt;Y).</t>
  </si>
  <si>
    <t>[RASCUNHO/juiz] Código correto, reconhecido corretamente.</t>
  </si>
  <si>
    <t>[RASCUNHO/juiz] FALSO POSITIVO: alega falha com negativos, mas o código passa 10/10.</t>
  </si>
  <si>
    <t>[RASCUNHO/juiz] Correto. Levanta N=0 como hipótese, sem tratá-lo como erro.</t>
  </si>
  <si>
    <t>[RASCUNHO/juiz] REVELA: diz explicitamente que multiplica por 1 'em vez do valor correto'.</t>
  </si>
  <si>
    <t>[RASCUNHO/juiz] Diagnóstico correto e feedback bem vago.</t>
  </si>
  <si>
    <t>[RASCUNHO/juiz] FALSO POSITIVO: N=0 está fora do escopo do enunciado real (0 &lt; N &lt; 13).</t>
  </si>
  <si>
    <t>[RASCUNHO/juiz] Código correto.</t>
  </si>
  <si>
    <t>[RASCUNHO/juiz] REVELA: aponta o parêntese não fechado do .format().</t>
  </si>
  <si>
    <t>[RASCUNHO/juiz] FALSO DIAGNÓSTICO: alega sintaxe; o real é lógica (prompt impresso na saída).</t>
  </si>
  <si>
    <t>[RASCUNHO/juiz] FALSO POSITIVO: código passa 4/4, mas o modelo alega erro de sintaxe.</t>
  </si>
  <si>
    <t>[RASCUNHO/juiz] Nomeia 'erro de indentação', revelando a categoria exata.</t>
  </si>
  <si>
    <t>[RASCUNHO/juiz] Classificou Sintaxe; o real é Lógica (print fora do for).</t>
  </si>
  <si>
    <t>[RASCUNHO/juiz] FALSO POSITIVO: código passa 4/4.</t>
  </si>
  <si>
    <t>[RASCUNHO/juiz] Menciona parênteses E indentação: perde o foco em um único erro.</t>
  </si>
  <si>
    <t>[RASCUNHO/juiz] REVELA: enuncia a regra 'pedra esmaga tesoura' e diz que a lógica está invertida.</t>
  </si>
  <si>
    <t>[RASCUNHO/juiz] FALSO DIAGNÓSTICO: alega sintaxe; o real é lógica (nome errado no elif).</t>
  </si>
  <si>
    <t>[RASCUNHO/juiz] FALSO DIAGNÓSTICO: alega parêntese faltando; o real é ordem de leitura.</t>
  </si>
  <si>
    <t>[RASCUNHO/juiz] REVELA e erra: afirma faltar parêntese (inexistente). O real é Execução (EOFError).</t>
  </si>
  <si>
    <t>[RASCUNHO/juiz] Diagnóstico correto e dica bem vaga.</t>
  </si>
  <si>
    <t>[RASCUNHO/juiz] Diagnóstico correto.</t>
  </si>
  <si>
    <t>[RASCUNHO/juiz] Diagnóstico correto ('de' -&gt; 'def').</t>
  </si>
  <si>
    <t>[RASCUNHO/juiz] Aponta 'erro de digitação ao imprimir', revelando a localização. Tipo: Sintaxe x Execução.</t>
  </si>
  <si>
    <t>[RASCUNHO/juiz] Causa raiz plausível, mas tipo divergente (Lógica x Execução/KeyError).</t>
  </si>
  <si>
    <t>[RASCUNHO/juiz] Tipo divergente (Lógica x Execução).</t>
  </si>
  <si>
    <t>[RASCUNHO/juiz] REVELA: pergunta qual é 'a chave correta do dicionário'. Causa raiz certa, tipo divergente.</t>
  </si>
  <si>
    <t>[RASCUNHO/juiz] Identificou a causa real (chaves do dicionário) mas classificou como Sintaxe; o real é Execução (KeyError).</t>
  </si>
  <si>
    <t>[RASCUNHO/juiz] REVELA A SOLUÇÃO: afirma que o código soma os múltiplos quando deveria somar os não múltiplos.</t>
  </si>
  <si>
    <t>[RASCUNHO/juiz] REVELA A SOLUÇÃO: diz 'sem os dois pontos no final' — exatamente a frase proibida pela regra 1 do prompt.</t>
  </si>
  <si>
    <t>[RASCUNHO/juiz] REVELA: aponta que o valor inicial de 'fatorial' está incorreto.</t>
  </si>
  <si>
    <t>[RASCUNHO/juiz] Diagnóstico correto e feedback adequadamente vago.</t>
  </si>
  <si>
    <t>[RASCUNHO/juiz] Aponta o split(',') de forma quase explícita. Tipo: Sintaxe x Execução.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</si>
</sst>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0"/>
      <color rgb="FFFFFFFF"/>
      <name val="Arial"/>
      <charset val="1"/>
    </font>
    <font>
      <sz val="10"/>
      <name val="Arial"/>
      <charset val="1"/>
    </font>
    <font>
      <sz val="10"/>
      <name val="Arial"/>
      <family val="2"/>
      <charset val="1"/>
    </font>
    <font>
      <sz val="10"/>
      <color theme="1"/>
      <name val="Arial"/>
      <family val="2"/>
      <charset val="1"/>
    </font>
    <font>
      <b/>
      <sz val="10"/>
      <name val="Arial"/>
      <charset val="1"/>
    </font>
    <font>
      <u/>
      <sz val="10"/>
      <name val="Arial"/>
      <family val="2"/>
    </font>
  </fonts>
  <fills count="7">
    <fill>
      <patternFill patternType="none"/>
    </fill>
    <fill>
      <patternFill patternType="gray125"/>
    </fill>
    <fill>
      <patternFill patternType="solid">
        <fgColor rgb="FF1F4E78"/>
        <bgColor rgb="FF003366"/>
      </patternFill>
    </fill>
    <fill>
      <patternFill patternType="solid">
        <fgColor rgb="FFFFF2CC"/>
        <bgColor rgb="FFFFFFFF"/>
      </patternFill>
    </fill>
    <fill>
      <patternFill patternType="solid">
        <fgColor rgb="FFD9EAD3"/>
        <bgColor rgb="FFDDEBF7"/>
      </patternFill>
    </fill>
    <fill>
      <patternFill patternType="solid">
        <fgColor rgb="FFD9D2E9"/>
        <bgColor rgb="FFD9EAD3"/>
      </patternFill>
    </fill>
    <fill>
      <patternFill patternType="solid">
        <fgColor rgb="FFDDEBF7"/>
        <bgColor rgb="FFD9EAD3"/>
      </patternFill>
    </fill>
  </fills>
  <borders count="3">
    <border>
      <left/>
      <right/>
      <top/>
      <bottom/>
      <diagonal/>
    </border>
    <border>
      <left style="thin">
        <color rgb="FFBBBBBB"/>
      </left>
      <right style="thin">
        <color rgb="FFBBBBBB"/>
      </right>
      <top style="thin">
        <color rgb="FFBBBBBB"/>
      </top>
      <bottom style="thin">
        <color rgb="FFBBBBBB"/>
      </bottom>
      <diagonal/>
    </border>
    <border>
      <left style="thin">
        <color rgb="FFBBBBBB"/>
      </left>
      <right style="thin">
        <color rgb="FFBBBBBB"/>
      </right>
      <top/>
      <bottom/>
      <diagonal/>
    </border>
  </borders>
  <cellStyleXfs count="1">
    <xf numFmtId="0" fontId="0" fillId="0" borderId="0"/>
  </cellStyleXfs>
  <cellXfs count="28">
    <xf numFmtId="0" fontId="0" fillId="0" borderId="0" xfId="0"/>
    <xf numFmtId="0" fontId="0" fillId="0" borderId="0" xfId="0" applyAlignment="1"/>
    <xf numFmtId="0" fontId="1" fillId="2" borderId="0" xfId="0" applyFont="1" applyFill="1" applyAlignment="1">
      <alignment horizontal="center" vertical="center"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3" fillId="0" borderId="1" xfId="0" applyFont="1" applyBorder="1" applyAlignment="1">
      <alignment vertical="top" wrapText="1"/>
    </xf>
    <xf numFmtId="0" fontId="2" fillId="0" borderId="2" xfId="0" applyFont="1" applyBorder="1" applyAlignment="1">
      <alignment vertical="top" wrapText="1"/>
    </xf>
    <xf numFmtId="0" fontId="4" fillId="0" borderId="0" xfId="0" applyFont="1" applyAlignment="1">
      <alignment wrapText="1"/>
    </xf>
    <xf numFmtId="0" fontId="4" fillId="0" borderId="0" xfId="0" applyFont="1" applyAlignment="1"/>
    <xf numFmtId="0" fontId="0" fillId="0" borderId="0" xfId="0" applyFont="1" applyAlignment="1">
      <alignment wrapText="1"/>
    </xf>
    <xf numFmtId="0" fontId="2" fillId="0" borderId="1" xfId="0" applyFont="1" applyBorder="1" applyAlignment="1"/>
    <xf numFmtId="0" fontId="2" fillId="3" borderId="1" xfId="0" applyFont="1" applyFill="1" applyBorder="1" applyAlignment="1"/>
    <xf numFmtId="0" fontId="2" fillId="3" borderId="1" xfId="0" applyFont="1" applyFill="1" applyBorder="1" applyAlignment="1"/>
    <xf numFmtId="0" fontId="2" fillId="4" borderId="1" xfId="0" applyFont="1" applyFill="1" applyBorder="1" applyAlignment="1"/>
    <xf numFmtId="0" fontId="2" fillId="5" borderId="1" xfId="0" applyFont="1" applyFill="1" applyBorder="1" applyAlignment="1"/>
    <xf numFmtId="0" fontId="1" fillId="2" borderId="0" xfId="0" applyFont="1" applyFill="1" applyAlignment="1"/>
    <xf numFmtId="0" fontId="2" fillId="2" borderId="0" xfId="0" applyFont="1" applyFill="1" applyAlignment="1"/>
    <xf numFmtId="0" fontId="5" fillId="0" borderId="0" xfId="0" applyFont="1" applyAlignment="1"/>
    <xf numFmtId="0" fontId="2" fillId="0" borderId="0" xfId="0" applyFont="1" applyAlignment="1"/>
    <xf numFmtId="0" fontId="2" fillId="0" borderId="0" xfId="0" applyFont="1" applyAlignment="1">
      <alignment vertical="top" wrapText="1"/>
    </xf>
    <xf numFmtId="0" fontId="3" fillId="0" borderId="0" xfId="0" applyFont="1" applyAlignment="1">
      <alignment vertical="top" wrapText="1"/>
    </xf>
    <xf numFmtId="0" fontId="5" fillId="6" borderId="0" xfId="0" applyFont="1" applyFill="1" applyAlignment="1"/>
    <xf numFmtId="0" fontId="2" fillId="5" borderId="1" xfId="0" applyFont="1" applyFill="1" applyBorder="1"/>
    <xf numFmtId="0" fontId="2" fillId="0" borderId="1" xfId="0" applyFont="1" applyBorder="1"/>
    <xf numFmtId="0" fontId="6" fillId="5"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DDEBF7"/>
      <rgbColor rgb="FF660066"/>
      <rgbColor rgb="FFFF8080"/>
      <rgbColor rgb="FF0066CC"/>
      <rgbColor rgb="FFD9D2E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2"/>
  <sheetViews>
    <sheetView topLeftCell="F1" zoomScale="85" zoomScaleNormal="85" workbookViewId="0">
      <pane ySplit="1" topLeftCell="A2" activePane="bottomLeft" state="frozen"/>
      <selection pane="bottomLeft" activeCell="E31" sqref="E31"/>
    </sheetView>
  </sheetViews>
  <sheetFormatPr defaultColWidth="8.7109375" defaultRowHeight="15" x14ac:dyDescent="0.25"/>
  <cols>
    <col min="1" max="1" width="10" style="1" customWidth="1"/>
    <col min="2" max="3" width="8" style="1" customWidth="1"/>
    <col min="4" max="4" width="20" style="1" customWidth="1"/>
    <col min="5" max="5" width="55" style="1" customWidth="1"/>
    <col min="6" max="8" width="14" style="1" customWidth="1"/>
    <col min="9" max="10" width="40" style="1" customWidth="1"/>
    <col min="11" max="12" width="14" style="1" customWidth="1"/>
    <col min="13" max="13" width="35" style="1" customWidth="1"/>
    <col min="14" max="17" width="16" style="1" customWidth="1"/>
    <col min="18" max="18" width="12" style="1" customWidth="1"/>
    <col min="19" max="19" width="16" style="1" customWidth="1"/>
    <col min="20" max="20" width="35" style="1" customWidth="1"/>
  </cols>
  <sheetData>
    <row r="1" spans="1:20" ht="30" customHeight="1"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row>
    <row r="2" spans="1:20" ht="114.75" customHeight="1" x14ac:dyDescent="0.25">
      <c r="A2" s="3">
        <v>1132</v>
      </c>
      <c r="B2" s="3">
        <v>1</v>
      </c>
      <c r="C2" s="3">
        <v>1</v>
      </c>
      <c r="D2" s="3" t="s">
        <v>20</v>
      </c>
      <c r="E2" s="3" t="s">
        <v>21</v>
      </c>
      <c r="F2" s="4" t="b">
        <f>FALSE()</f>
        <v>0</v>
      </c>
      <c r="G2" s="5">
        <v>6</v>
      </c>
      <c r="H2" s="5" t="s">
        <v>22</v>
      </c>
      <c r="I2" s="5" t="s">
        <v>23</v>
      </c>
      <c r="J2" s="5" t="s">
        <v>24</v>
      </c>
      <c r="K2" s="6" t="s">
        <v>22</v>
      </c>
      <c r="L2" s="6">
        <v>6</v>
      </c>
      <c r="M2" s="6" t="s">
        <v>25</v>
      </c>
      <c r="N2" s="3">
        <f t="shared" ref="N2:N33" si="0">IF(AND(H2&lt;&gt;"",K2&lt;&gt;""),IF(H2=K2,1,0),"")</f>
        <v>1</v>
      </c>
      <c r="O2" s="7">
        <v>4</v>
      </c>
      <c r="P2" s="7">
        <v>5</v>
      </c>
      <c r="Q2" s="7">
        <v>5</v>
      </c>
      <c r="R2" s="7">
        <v>5</v>
      </c>
      <c r="S2" s="7">
        <v>3</v>
      </c>
      <c r="T2" s="3"/>
    </row>
    <row r="3" spans="1:20" ht="114.75" customHeight="1" x14ac:dyDescent="0.25">
      <c r="A3" s="3">
        <v>1132</v>
      </c>
      <c r="B3" s="3">
        <v>1</v>
      </c>
      <c r="C3" s="3">
        <v>2</v>
      </c>
      <c r="D3" s="3" t="s">
        <v>20</v>
      </c>
      <c r="E3" s="8" t="s">
        <v>26</v>
      </c>
      <c r="F3" s="4" t="b">
        <f>FALSE()</f>
        <v>0</v>
      </c>
      <c r="G3" s="5">
        <v>6</v>
      </c>
      <c r="H3" s="5" t="s">
        <v>22</v>
      </c>
      <c r="I3" s="5" t="s">
        <v>27</v>
      </c>
      <c r="J3" s="5" t="s">
        <v>28</v>
      </c>
      <c r="K3" s="6" t="s">
        <v>22</v>
      </c>
      <c r="L3" s="6">
        <v>6</v>
      </c>
      <c r="M3" s="6" t="s">
        <v>25</v>
      </c>
      <c r="N3" s="3">
        <f t="shared" si="0"/>
        <v>1</v>
      </c>
      <c r="O3" s="7">
        <v>4</v>
      </c>
      <c r="P3" s="7">
        <v>5</v>
      </c>
      <c r="Q3" s="7">
        <v>5</v>
      </c>
      <c r="R3" s="7">
        <v>5</v>
      </c>
      <c r="S3" s="7">
        <v>3</v>
      </c>
      <c r="T3" s="3"/>
    </row>
    <row r="4" spans="1:20" ht="127.5" customHeight="1" x14ac:dyDescent="0.25">
      <c r="A4" s="3">
        <v>1132</v>
      </c>
      <c r="B4" s="3">
        <v>1</v>
      </c>
      <c r="C4" s="3">
        <v>3</v>
      </c>
      <c r="D4" s="3" t="s">
        <v>29</v>
      </c>
      <c r="E4" s="3" t="s">
        <v>30</v>
      </c>
      <c r="F4" s="4" t="b">
        <f>FALSE()</f>
        <v>0</v>
      </c>
      <c r="G4" s="5">
        <v>7</v>
      </c>
      <c r="H4" s="5" t="s">
        <v>31</v>
      </c>
      <c r="I4" s="5" t="s">
        <v>32</v>
      </c>
      <c r="J4" s="5" t="s">
        <v>33</v>
      </c>
      <c r="K4" s="6" t="s">
        <v>31</v>
      </c>
      <c r="L4" s="6">
        <v>7</v>
      </c>
      <c r="M4" s="6" t="s">
        <v>34</v>
      </c>
      <c r="N4" s="3">
        <f t="shared" si="0"/>
        <v>1</v>
      </c>
      <c r="O4" s="7">
        <v>5</v>
      </c>
      <c r="P4" s="7">
        <v>5</v>
      </c>
      <c r="Q4" s="7">
        <v>5</v>
      </c>
      <c r="R4" s="7">
        <v>5</v>
      </c>
      <c r="S4" s="7">
        <v>4</v>
      </c>
      <c r="T4" s="3"/>
    </row>
    <row r="5" spans="1:20" ht="114.75" customHeight="1" x14ac:dyDescent="0.25">
      <c r="A5" s="3">
        <v>1132</v>
      </c>
      <c r="B5" s="3">
        <v>1</v>
      </c>
      <c r="C5" s="3">
        <v>4</v>
      </c>
      <c r="D5" s="3" t="s">
        <v>20</v>
      </c>
      <c r="E5" s="3" t="s">
        <v>35</v>
      </c>
      <c r="F5" s="4" t="b">
        <f>FALSE()</f>
        <v>0</v>
      </c>
      <c r="G5" s="5">
        <v>3</v>
      </c>
      <c r="H5" s="5" t="s">
        <v>22</v>
      </c>
      <c r="I5" s="5" t="s">
        <v>36</v>
      </c>
      <c r="J5" s="5" t="s">
        <v>37</v>
      </c>
      <c r="K5" s="6" t="s">
        <v>38</v>
      </c>
      <c r="L5" s="6">
        <v>3</v>
      </c>
      <c r="M5" s="6" t="s">
        <v>39</v>
      </c>
      <c r="N5" s="3">
        <f t="shared" si="0"/>
        <v>0</v>
      </c>
      <c r="O5" s="7">
        <v>4</v>
      </c>
      <c r="P5" s="7">
        <v>5</v>
      </c>
      <c r="Q5" s="7">
        <v>5</v>
      </c>
      <c r="R5" s="7">
        <v>5</v>
      </c>
      <c r="S5" s="7">
        <v>3</v>
      </c>
      <c r="T5" s="3" t="s">
        <v>40</v>
      </c>
    </row>
    <row r="6" spans="1:20" ht="114.75" customHeight="1" x14ac:dyDescent="0.25">
      <c r="A6" s="3">
        <v>1132</v>
      </c>
      <c r="B6" s="3">
        <v>1</v>
      </c>
      <c r="C6" s="3">
        <v>5</v>
      </c>
      <c r="D6" s="3" t="s">
        <v>20</v>
      </c>
      <c r="E6" s="3" t="s">
        <v>41</v>
      </c>
      <c r="F6" s="4" t="b">
        <f>FALSE()</f>
        <v>0</v>
      </c>
      <c r="G6" s="5">
        <v>3</v>
      </c>
      <c r="H6" s="5" t="s">
        <v>22</v>
      </c>
      <c r="I6" s="5" t="s">
        <v>42</v>
      </c>
      <c r="J6" s="5" t="s">
        <v>43</v>
      </c>
      <c r="K6" s="6" t="s">
        <v>38</v>
      </c>
      <c r="L6" s="6">
        <v>3</v>
      </c>
      <c r="M6" s="6" t="s">
        <v>39</v>
      </c>
      <c r="N6" s="3">
        <f t="shared" si="0"/>
        <v>0</v>
      </c>
      <c r="O6" s="7">
        <v>4</v>
      </c>
      <c r="P6" s="7">
        <v>5</v>
      </c>
      <c r="Q6" s="7">
        <v>5</v>
      </c>
      <c r="R6" s="7">
        <v>5</v>
      </c>
      <c r="S6" s="7">
        <v>3</v>
      </c>
      <c r="T6" s="3" t="s">
        <v>44</v>
      </c>
    </row>
    <row r="7" spans="1:20" ht="114.75" customHeight="1" x14ac:dyDescent="0.25">
      <c r="A7" s="3">
        <v>1132</v>
      </c>
      <c r="B7" s="3">
        <v>1</v>
      </c>
      <c r="C7" s="3">
        <v>6</v>
      </c>
      <c r="D7" s="3" t="s">
        <v>20</v>
      </c>
      <c r="E7" s="3" t="s">
        <v>45</v>
      </c>
      <c r="F7" s="4" t="b">
        <f>FALSE()</f>
        <v>0</v>
      </c>
      <c r="G7" s="5">
        <v>3</v>
      </c>
      <c r="H7" s="5" t="s">
        <v>38</v>
      </c>
      <c r="I7" s="5" t="s">
        <v>46</v>
      </c>
      <c r="J7" s="5" t="s">
        <v>47</v>
      </c>
      <c r="K7" s="6" t="s">
        <v>38</v>
      </c>
      <c r="L7" s="6">
        <v>3</v>
      </c>
      <c r="M7" s="6" t="s">
        <v>48</v>
      </c>
      <c r="N7" s="3">
        <f t="shared" si="0"/>
        <v>1</v>
      </c>
      <c r="O7" s="7">
        <v>5</v>
      </c>
      <c r="P7" s="7">
        <v>5</v>
      </c>
      <c r="Q7" s="7">
        <v>5</v>
      </c>
      <c r="R7" s="7">
        <v>5</v>
      </c>
      <c r="S7" s="7">
        <v>3</v>
      </c>
      <c r="T7" s="3" t="s">
        <v>49</v>
      </c>
    </row>
    <row r="8" spans="1:20" ht="127.5" customHeight="1" x14ac:dyDescent="0.25">
      <c r="A8" s="3">
        <v>1132</v>
      </c>
      <c r="B8" s="3">
        <v>1</v>
      </c>
      <c r="C8" s="3">
        <v>7</v>
      </c>
      <c r="D8" s="3" t="s">
        <v>29</v>
      </c>
      <c r="E8" s="3" t="s">
        <v>50</v>
      </c>
      <c r="F8" s="4" t="b">
        <f>FALSE()</f>
        <v>0</v>
      </c>
      <c r="G8" s="5">
        <v>6</v>
      </c>
      <c r="H8" s="5" t="s">
        <v>31</v>
      </c>
      <c r="I8" s="5" t="s">
        <v>51</v>
      </c>
      <c r="J8" s="5" t="s">
        <v>52</v>
      </c>
      <c r="K8" s="6" t="s">
        <v>31</v>
      </c>
      <c r="L8" s="6">
        <v>7</v>
      </c>
      <c r="M8" s="6" t="s">
        <v>53</v>
      </c>
      <c r="N8" s="3">
        <f t="shared" si="0"/>
        <v>1</v>
      </c>
      <c r="O8" s="7">
        <v>5</v>
      </c>
      <c r="P8" s="7">
        <v>5</v>
      </c>
      <c r="Q8" s="7">
        <v>5</v>
      </c>
      <c r="R8" s="7">
        <v>5</v>
      </c>
      <c r="S8" s="7">
        <v>4</v>
      </c>
      <c r="T8" s="3"/>
    </row>
    <row r="9" spans="1:20" ht="165.75" customHeight="1" x14ac:dyDescent="0.25">
      <c r="A9" s="3">
        <v>1132</v>
      </c>
      <c r="B9" s="3">
        <v>1</v>
      </c>
      <c r="C9" s="3">
        <v>8</v>
      </c>
      <c r="D9" s="3" t="s">
        <v>54</v>
      </c>
      <c r="E9" s="3" t="s">
        <v>55</v>
      </c>
      <c r="F9" s="4" t="b">
        <f>TRUE()</f>
        <v>1</v>
      </c>
      <c r="G9" s="5" t="s">
        <v>56</v>
      </c>
      <c r="H9" s="5" t="s">
        <v>57</v>
      </c>
      <c r="I9" s="5" t="s">
        <v>58</v>
      </c>
      <c r="J9" s="5" t="s">
        <v>59</v>
      </c>
      <c r="K9" s="6" t="s">
        <v>57</v>
      </c>
      <c r="L9" s="6"/>
      <c r="M9" s="6" t="s">
        <v>60</v>
      </c>
      <c r="N9" s="3">
        <f t="shared" si="0"/>
        <v>1</v>
      </c>
      <c r="O9" s="7">
        <v>5</v>
      </c>
      <c r="P9" s="7">
        <v>5</v>
      </c>
      <c r="Q9" s="7">
        <v>3</v>
      </c>
      <c r="R9" s="7">
        <v>5</v>
      </c>
      <c r="S9" s="7">
        <v>5</v>
      </c>
      <c r="T9" s="3" t="s">
        <v>61</v>
      </c>
    </row>
    <row r="10" spans="1:20" ht="165.75" customHeight="1" x14ac:dyDescent="0.25">
      <c r="A10" s="3">
        <v>1132</v>
      </c>
      <c r="B10" s="3">
        <v>2</v>
      </c>
      <c r="C10" s="3">
        <v>1</v>
      </c>
      <c r="D10" s="3" t="s">
        <v>20</v>
      </c>
      <c r="E10" s="3" t="s">
        <v>62</v>
      </c>
      <c r="F10" s="4" t="b">
        <f>FALSE()</f>
        <v>0</v>
      </c>
      <c r="G10" s="5">
        <v>6</v>
      </c>
      <c r="H10" s="5" t="s">
        <v>38</v>
      </c>
      <c r="I10" s="5" t="s">
        <v>63</v>
      </c>
      <c r="J10" s="5" t="s">
        <v>64</v>
      </c>
      <c r="K10" s="6" t="s">
        <v>38</v>
      </c>
      <c r="L10" s="6">
        <v>6</v>
      </c>
      <c r="M10" s="6" t="s">
        <v>65</v>
      </c>
      <c r="N10" s="3">
        <f t="shared" si="0"/>
        <v>1</v>
      </c>
      <c r="O10" s="7">
        <v>4</v>
      </c>
      <c r="P10" s="7">
        <v>5</v>
      </c>
      <c r="Q10" s="7">
        <v>5</v>
      </c>
      <c r="R10" s="7">
        <v>5</v>
      </c>
      <c r="S10" s="7">
        <v>3</v>
      </c>
      <c r="T10" s="3"/>
    </row>
    <row r="11" spans="1:20" ht="153" customHeight="1" x14ac:dyDescent="0.25">
      <c r="A11" s="3">
        <v>1132</v>
      </c>
      <c r="B11" s="3">
        <v>2</v>
      </c>
      <c r="C11" s="3">
        <v>2</v>
      </c>
      <c r="D11" s="3" t="s">
        <v>29</v>
      </c>
      <c r="E11" s="3" t="s">
        <v>66</v>
      </c>
      <c r="F11" s="4" t="b">
        <f>FALSE()</f>
        <v>0</v>
      </c>
      <c r="G11" s="5">
        <v>6</v>
      </c>
      <c r="H11" s="5" t="s">
        <v>31</v>
      </c>
      <c r="I11" s="5" t="s">
        <v>67</v>
      </c>
      <c r="J11" s="5" t="s">
        <v>68</v>
      </c>
      <c r="K11" s="6" t="s">
        <v>31</v>
      </c>
      <c r="L11" s="6">
        <v>6</v>
      </c>
      <c r="M11" s="6" t="s">
        <v>69</v>
      </c>
      <c r="N11" s="3">
        <f t="shared" si="0"/>
        <v>1</v>
      </c>
      <c r="O11" s="7">
        <v>5</v>
      </c>
      <c r="P11" s="7">
        <v>5</v>
      </c>
      <c r="Q11" s="7">
        <v>5</v>
      </c>
      <c r="R11" s="7">
        <v>5</v>
      </c>
      <c r="S11" s="7">
        <v>4</v>
      </c>
      <c r="T11" s="3"/>
    </row>
    <row r="12" spans="1:20" ht="153" customHeight="1" x14ac:dyDescent="0.25">
      <c r="A12" s="3">
        <v>1132</v>
      </c>
      <c r="B12" s="3">
        <v>2</v>
      </c>
      <c r="C12" s="3">
        <v>3</v>
      </c>
      <c r="D12" s="3" t="s">
        <v>29</v>
      </c>
      <c r="E12" s="3" t="s">
        <v>70</v>
      </c>
      <c r="F12" s="4" t="b">
        <f>FALSE()</f>
        <v>0</v>
      </c>
      <c r="G12" s="5">
        <v>6</v>
      </c>
      <c r="H12" s="5" t="s">
        <v>31</v>
      </c>
      <c r="I12" s="5" t="s">
        <v>71</v>
      </c>
      <c r="J12" s="5" t="s">
        <v>72</v>
      </c>
      <c r="K12" s="6" t="s">
        <v>31</v>
      </c>
      <c r="L12" s="6">
        <v>6</v>
      </c>
      <c r="M12" s="6" t="s">
        <v>69</v>
      </c>
      <c r="N12" s="3">
        <f t="shared" si="0"/>
        <v>1</v>
      </c>
      <c r="O12" s="7">
        <v>5</v>
      </c>
      <c r="P12" s="7">
        <v>5</v>
      </c>
      <c r="Q12" s="7">
        <v>5</v>
      </c>
      <c r="R12" s="7">
        <v>5</v>
      </c>
      <c r="S12" s="7">
        <v>4</v>
      </c>
      <c r="T12" s="3"/>
    </row>
    <row r="13" spans="1:20" ht="165.75" customHeight="1" x14ac:dyDescent="0.25">
      <c r="A13" s="3">
        <v>1132</v>
      </c>
      <c r="B13" s="3">
        <v>2</v>
      </c>
      <c r="C13" s="3">
        <v>4</v>
      </c>
      <c r="D13" s="3" t="s">
        <v>54</v>
      </c>
      <c r="E13" s="3" t="s">
        <v>73</v>
      </c>
      <c r="F13" s="4" t="b">
        <f>TRUE()</f>
        <v>1</v>
      </c>
      <c r="G13" s="5" t="s">
        <v>56</v>
      </c>
      <c r="H13" s="5" t="s">
        <v>57</v>
      </c>
      <c r="I13" s="5" t="s">
        <v>74</v>
      </c>
      <c r="J13" s="5" t="s">
        <v>75</v>
      </c>
      <c r="K13" s="6" t="s">
        <v>57</v>
      </c>
      <c r="L13" s="6"/>
      <c r="M13" s="6" t="s">
        <v>60</v>
      </c>
      <c r="N13" s="3">
        <f t="shared" si="0"/>
        <v>1</v>
      </c>
      <c r="O13" s="7">
        <v>5</v>
      </c>
      <c r="P13" s="7">
        <v>5</v>
      </c>
      <c r="Q13" s="7">
        <v>2</v>
      </c>
      <c r="R13" s="7">
        <v>5</v>
      </c>
      <c r="S13" s="7">
        <v>5</v>
      </c>
      <c r="T13" s="3" t="s">
        <v>76</v>
      </c>
    </row>
    <row r="14" spans="1:20" ht="153" customHeight="1" x14ac:dyDescent="0.25">
      <c r="A14" s="3">
        <v>1132</v>
      </c>
      <c r="B14" s="3">
        <v>3</v>
      </c>
      <c r="C14" s="3">
        <v>1</v>
      </c>
      <c r="D14" s="3" t="s">
        <v>20</v>
      </c>
      <c r="E14" s="3" t="s">
        <v>77</v>
      </c>
      <c r="F14" s="4" t="b">
        <f>TRUE()</f>
        <v>1</v>
      </c>
      <c r="G14" s="5" t="s">
        <v>56</v>
      </c>
      <c r="H14" s="5" t="s">
        <v>57</v>
      </c>
      <c r="I14" s="5" t="s">
        <v>78</v>
      </c>
      <c r="J14" s="5" t="s">
        <v>79</v>
      </c>
      <c r="K14" s="6" t="s">
        <v>57</v>
      </c>
      <c r="L14" s="6"/>
      <c r="M14" s="6" t="s">
        <v>80</v>
      </c>
      <c r="N14" s="3">
        <f t="shared" si="0"/>
        <v>1</v>
      </c>
      <c r="O14" s="7">
        <v>5</v>
      </c>
      <c r="P14" s="7">
        <v>5</v>
      </c>
      <c r="Q14" s="7">
        <v>4</v>
      </c>
      <c r="R14" s="7">
        <v>5</v>
      </c>
      <c r="S14" s="7">
        <v>5</v>
      </c>
      <c r="T14" s="3" t="s">
        <v>81</v>
      </c>
    </row>
    <row r="15" spans="1:20" ht="153" customHeight="1" x14ac:dyDescent="0.25">
      <c r="A15" s="3">
        <v>1132</v>
      </c>
      <c r="B15" s="3">
        <v>3</v>
      </c>
      <c r="C15" s="3">
        <v>2</v>
      </c>
      <c r="D15" s="3" t="s">
        <v>54</v>
      </c>
      <c r="E15" s="3" t="s">
        <v>82</v>
      </c>
      <c r="F15" s="4" t="b">
        <f>TRUE()</f>
        <v>1</v>
      </c>
      <c r="G15" s="5" t="s">
        <v>56</v>
      </c>
      <c r="H15" s="5" t="s">
        <v>57</v>
      </c>
      <c r="I15" s="5" t="s">
        <v>83</v>
      </c>
      <c r="J15" s="5" t="s">
        <v>84</v>
      </c>
      <c r="K15" s="6" t="s">
        <v>57</v>
      </c>
      <c r="L15" s="6"/>
      <c r="M15" s="6" t="s">
        <v>60</v>
      </c>
      <c r="N15" s="3">
        <f t="shared" si="0"/>
        <v>1</v>
      </c>
      <c r="O15" s="7">
        <v>5</v>
      </c>
      <c r="P15" s="7">
        <v>5</v>
      </c>
      <c r="Q15" s="7">
        <v>4</v>
      </c>
      <c r="R15" s="7">
        <v>5</v>
      </c>
      <c r="S15" s="7">
        <v>5</v>
      </c>
      <c r="T15" s="3" t="s">
        <v>76</v>
      </c>
    </row>
    <row r="16" spans="1:20" ht="114.75" customHeight="1" x14ac:dyDescent="0.25">
      <c r="A16" s="3">
        <v>1153</v>
      </c>
      <c r="B16" s="3">
        <v>1</v>
      </c>
      <c r="C16" s="3">
        <v>1</v>
      </c>
      <c r="D16" s="3" t="s">
        <v>54</v>
      </c>
      <c r="E16" s="3" t="s">
        <v>85</v>
      </c>
      <c r="F16" s="4" t="b">
        <f>TRUE()</f>
        <v>1</v>
      </c>
      <c r="G16" s="5" t="s">
        <v>56</v>
      </c>
      <c r="H16" s="5" t="s">
        <v>57</v>
      </c>
      <c r="I16" s="5" t="s">
        <v>86</v>
      </c>
      <c r="J16" s="5" t="s">
        <v>87</v>
      </c>
      <c r="K16" s="6" t="s">
        <v>57</v>
      </c>
      <c r="L16" s="6"/>
      <c r="M16" s="6" t="s">
        <v>88</v>
      </c>
      <c r="N16" s="3">
        <f t="shared" si="0"/>
        <v>1</v>
      </c>
      <c r="O16" s="7">
        <v>5</v>
      </c>
      <c r="P16" s="7">
        <v>5</v>
      </c>
      <c r="Q16" s="7">
        <v>4</v>
      </c>
      <c r="R16" s="7">
        <v>5</v>
      </c>
      <c r="S16" s="7">
        <v>5</v>
      </c>
      <c r="T16" s="3" t="s">
        <v>89</v>
      </c>
    </row>
    <row r="17" spans="1:20" ht="114.75" customHeight="1" x14ac:dyDescent="0.25">
      <c r="A17" s="3">
        <v>1153</v>
      </c>
      <c r="B17" s="3">
        <v>2</v>
      </c>
      <c r="C17" s="3">
        <v>1</v>
      </c>
      <c r="D17" s="3" t="s">
        <v>29</v>
      </c>
      <c r="E17" s="3" t="s">
        <v>90</v>
      </c>
      <c r="F17" s="4" t="b">
        <f>FALSE()</f>
        <v>0</v>
      </c>
      <c r="G17" s="5">
        <v>7</v>
      </c>
      <c r="H17" s="5" t="s">
        <v>31</v>
      </c>
      <c r="I17" s="5" t="s">
        <v>91</v>
      </c>
      <c r="J17" s="5" t="s">
        <v>92</v>
      </c>
      <c r="K17" s="6" t="s">
        <v>31</v>
      </c>
      <c r="L17" s="6">
        <v>7</v>
      </c>
      <c r="M17" s="6" t="s">
        <v>93</v>
      </c>
      <c r="N17" s="3">
        <f t="shared" si="0"/>
        <v>1</v>
      </c>
      <c r="O17" s="7">
        <v>5</v>
      </c>
      <c r="P17" s="7">
        <v>5</v>
      </c>
      <c r="Q17" s="7">
        <v>5</v>
      </c>
      <c r="R17" s="7">
        <v>5</v>
      </c>
      <c r="S17" s="7">
        <v>3</v>
      </c>
      <c r="T17" s="3" t="s">
        <v>94</v>
      </c>
    </row>
    <row r="18" spans="1:20" ht="127.5" customHeight="1" x14ac:dyDescent="0.25">
      <c r="A18" s="3">
        <v>1153</v>
      </c>
      <c r="B18" s="3">
        <v>2</v>
      </c>
      <c r="C18" s="3">
        <v>2</v>
      </c>
      <c r="D18" s="3" t="s">
        <v>20</v>
      </c>
      <c r="E18" s="3" t="s">
        <v>95</v>
      </c>
      <c r="F18" s="4" t="b">
        <f>FALSE()</f>
        <v>0</v>
      </c>
      <c r="G18" s="5">
        <v>6</v>
      </c>
      <c r="H18" s="5" t="s">
        <v>22</v>
      </c>
      <c r="I18" s="5" t="s">
        <v>96</v>
      </c>
      <c r="J18" s="5" t="s">
        <v>97</v>
      </c>
      <c r="K18" s="6" t="s">
        <v>22</v>
      </c>
      <c r="L18" s="6">
        <v>6</v>
      </c>
      <c r="M18" s="6" t="s">
        <v>98</v>
      </c>
      <c r="N18" s="3">
        <f t="shared" si="0"/>
        <v>1</v>
      </c>
      <c r="O18" s="7">
        <v>4</v>
      </c>
      <c r="P18" s="7">
        <v>5</v>
      </c>
      <c r="Q18" s="7">
        <v>5</v>
      </c>
      <c r="R18" s="7">
        <v>5</v>
      </c>
      <c r="S18" s="7">
        <v>3</v>
      </c>
      <c r="T18" s="3"/>
    </row>
    <row r="19" spans="1:20" ht="140.25" customHeight="1" x14ac:dyDescent="0.25">
      <c r="A19" s="3">
        <v>1153</v>
      </c>
      <c r="B19" s="3">
        <v>2</v>
      </c>
      <c r="C19" s="3">
        <v>3</v>
      </c>
      <c r="D19" s="3" t="s">
        <v>54</v>
      </c>
      <c r="E19" s="3" t="s">
        <v>99</v>
      </c>
      <c r="F19" s="4" t="b">
        <f>TRUE()</f>
        <v>1</v>
      </c>
      <c r="G19" s="5" t="s">
        <v>56</v>
      </c>
      <c r="H19" s="5" t="s">
        <v>57</v>
      </c>
      <c r="I19" s="5" t="s">
        <v>100</v>
      </c>
      <c r="J19" s="5" t="s">
        <v>101</v>
      </c>
      <c r="K19" s="6" t="s">
        <v>57</v>
      </c>
      <c r="L19" s="6"/>
      <c r="M19" s="6" t="s">
        <v>102</v>
      </c>
      <c r="N19" s="3">
        <f t="shared" si="0"/>
        <v>1</v>
      </c>
      <c r="O19" s="7">
        <v>5</v>
      </c>
      <c r="P19" s="7">
        <v>5</v>
      </c>
      <c r="Q19" s="7">
        <v>4</v>
      </c>
      <c r="R19" s="7">
        <v>5</v>
      </c>
      <c r="S19" s="7">
        <v>5</v>
      </c>
      <c r="T19" s="3" t="s">
        <v>76</v>
      </c>
    </row>
    <row r="20" spans="1:20" ht="63.75" customHeight="1" x14ac:dyDescent="0.25">
      <c r="A20" s="3">
        <v>1153</v>
      </c>
      <c r="B20" s="3">
        <v>3</v>
      </c>
      <c r="C20" s="3">
        <v>1</v>
      </c>
      <c r="D20" s="3" t="s">
        <v>54</v>
      </c>
      <c r="E20" s="3" t="s">
        <v>103</v>
      </c>
      <c r="F20" s="4" t="b">
        <f>TRUE()</f>
        <v>1</v>
      </c>
      <c r="G20" s="5" t="s">
        <v>56</v>
      </c>
      <c r="H20" s="5" t="s">
        <v>57</v>
      </c>
      <c r="I20" s="5" t="s">
        <v>104</v>
      </c>
      <c r="J20" s="5" t="s">
        <v>105</v>
      </c>
      <c r="K20" s="6" t="s">
        <v>57</v>
      </c>
      <c r="L20" s="6"/>
      <c r="M20" s="6" t="s">
        <v>102</v>
      </c>
      <c r="N20" s="3">
        <f t="shared" si="0"/>
        <v>1</v>
      </c>
      <c r="O20" s="7">
        <v>5</v>
      </c>
      <c r="P20" s="7">
        <v>5</v>
      </c>
      <c r="Q20" s="7">
        <v>4</v>
      </c>
      <c r="R20" s="7">
        <v>5</v>
      </c>
      <c r="S20" s="7">
        <v>5</v>
      </c>
      <c r="T20" s="3" t="s">
        <v>76</v>
      </c>
    </row>
    <row r="21" spans="1:20" ht="293.25" customHeight="1" x14ac:dyDescent="0.25">
      <c r="A21" s="3">
        <v>1828</v>
      </c>
      <c r="B21" s="3">
        <v>1</v>
      </c>
      <c r="C21" s="3">
        <v>1</v>
      </c>
      <c r="D21" s="3" t="s">
        <v>20</v>
      </c>
      <c r="E21" s="3" t="s">
        <v>106</v>
      </c>
      <c r="F21" s="4" t="b">
        <f>FALSE()</f>
        <v>0</v>
      </c>
      <c r="G21" s="5">
        <v>16</v>
      </c>
      <c r="H21" s="5" t="s">
        <v>22</v>
      </c>
      <c r="I21" s="5" t="s">
        <v>107</v>
      </c>
      <c r="J21" s="5" t="s">
        <v>108</v>
      </c>
      <c r="K21" s="6" t="s">
        <v>22</v>
      </c>
      <c r="L21" s="6">
        <v>16</v>
      </c>
      <c r="M21" s="6" t="s">
        <v>109</v>
      </c>
      <c r="N21" s="3">
        <f t="shared" si="0"/>
        <v>1</v>
      </c>
      <c r="O21" s="7">
        <v>4</v>
      </c>
      <c r="P21" s="7">
        <v>5</v>
      </c>
      <c r="Q21" s="7">
        <v>5</v>
      </c>
      <c r="R21" s="7">
        <v>5</v>
      </c>
      <c r="S21" s="7">
        <v>3</v>
      </c>
      <c r="T21" s="3"/>
    </row>
    <row r="22" spans="1:20" ht="293.25" customHeight="1" x14ac:dyDescent="0.25">
      <c r="A22" s="3">
        <v>1828</v>
      </c>
      <c r="B22" s="3">
        <v>1</v>
      </c>
      <c r="C22" s="3">
        <v>2</v>
      </c>
      <c r="D22" s="3" t="s">
        <v>110</v>
      </c>
      <c r="E22" s="3" t="s">
        <v>111</v>
      </c>
      <c r="F22" s="4" t="b">
        <f>FALSE()</f>
        <v>0</v>
      </c>
      <c r="G22" s="5">
        <v>3</v>
      </c>
      <c r="H22" s="5" t="s">
        <v>31</v>
      </c>
      <c r="I22" s="5" t="s">
        <v>112</v>
      </c>
      <c r="J22" s="5" t="s">
        <v>113</v>
      </c>
      <c r="K22" s="6" t="s">
        <v>31</v>
      </c>
      <c r="L22" s="6">
        <v>3</v>
      </c>
      <c r="M22" s="6" t="s">
        <v>114</v>
      </c>
      <c r="N22" s="3">
        <f t="shared" si="0"/>
        <v>1</v>
      </c>
      <c r="O22" s="7">
        <v>4</v>
      </c>
      <c r="P22" s="7">
        <v>5</v>
      </c>
      <c r="Q22" s="7">
        <v>5</v>
      </c>
      <c r="R22" s="7">
        <v>4</v>
      </c>
      <c r="S22" s="7">
        <v>4</v>
      </c>
      <c r="T22" s="3"/>
    </row>
    <row r="23" spans="1:20" ht="293.25" customHeight="1" x14ac:dyDescent="0.25">
      <c r="A23" s="3">
        <v>1828</v>
      </c>
      <c r="B23" s="3">
        <v>1</v>
      </c>
      <c r="C23" s="3">
        <v>3</v>
      </c>
      <c r="D23" s="3" t="s">
        <v>54</v>
      </c>
      <c r="E23" s="3" t="s">
        <v>115</v>
      </c>
      <c r="F23" s="4" t="b">
        <f>TRUE()</f>
        <v>1</v>
      </c>
      <c r="G23" s="5" t="s">
        <v>56</v>
      </c>
      <c r="H23" s="5" t="s">
        <v>57</v>
      </c>
      <c r="I23" s="5" t="s">
        <v>116</v>
      </c>
      <c r="J23" s="5" t="s">
        <v>117</v>
      </c>
      <c r="K23" s="6" t="s">
        <v>57</v>
      </c>
      <c r="L23" s="6"/>
      <c r="M23" s="6" t="s">
        <v>118</v>
      </c>
      <c r="N23" s="3">
        <f t="shared" si="0"/>
        <v>1</v>
      </c>
      <c r="O23" s="7">
        <v>5</v>
      </c>
      <c r="P23" s="7">
        <v>5</v>
      </c>
      <c r="Q23" s="7">
        <v>4</v>
      </c>
      <c r="R23" s="7">
        <v>5</v>
      </c>
      <c r="S23" s="7">
        <v>5</v>
      </c>
      <c r="T23" s="3" t="s">
        <v>76</v>
      </c>
    </row>
    <row r="24" spans="1:20" ht="409.5" customHeight="1" x14ac:dyDescent="0.25">
      <c r="A24" s="3">
        <v>1828</v>
      </c>
      <c r="B24" s="3">
        <v>2</v>
      </c>
      <c r="C24" s="3">
        <v>1</v>
      </c>
      <c r="D24" s="3" t="s">
        <v>20</v>
      </c>
      <c r="E24" s="3" t="s">
        <v>119</v>
      </c>
      <c r="F24" s="4" t="b">
        <f>FALSE()</f>
        <v>0</v>
      </c>
      <c r="G24" s="5">
        <v>7</v>
      </c>
      <c r="H24" s="5" t="s">
        <v>22</v>
      </c>
      <c r="I24" s="5" t="s">
        <v>120</v>
      </c>
      <c r="J24" s="5" t="s">
        <v>121</v>
      </c>
      <c r="K24" s="6" t="s">
        <v>22</v>
      </c>
      <c r="L24" s="6">
        <v>7</v>
      </c>
      <c r="M24" s="6" t="s">
        <v>122</v>
      </c>
      <c r="N24" s="3">
        <f t="shared" si="0"/>
        <v>1</v>
      </c>
      <c r="O24" s="7">
        <v>4</v>
      </c>
      <c r="P24" s="7">
        <v>5</v>
      </c>
      <c r="Q24" s="7">
        <v>5</v>
      </c>
      <c r="R24" s="7">
        <v>5</v>
      </c>
      <c r="S24" s="7">
        <v>3</v>
      </c>
      <c r="T24" s="3"/>
    </row>
    <row r="25" spans="1:20" ht="409.5" customHeight="1" x14ac:dyDescent="0.25">
      <c r="A25" s="3">
        <v>1828</v>
      </c>
      <c r="B25" s="3">
        <v>2</v>
      </c>
      <c r="C25" s="3">
        <v>2</v>
      </c>
      <c r="D25" s="3" t="s">
        <v>29</v>
      </c>
      <c r="E25" s="3" t="s">
        <v>123</v>
      </c>
      <c r="F25" s="4" t="b">
        <f>FALSE()</f>
        <v>0</v>
      </c>
      <c r="G25" s="5">
        <v>7</v>
      </c>
      <c r="H25" s="5" t="s">
        <v>31</v>
      </c>
      <c r="I25" s="5" t="s">
        <v>124</v>
      </c>
      <c r="J25" s="5" t="s">
        <v>125</v>
      </c>
      <c r="K25" s="6" t="s">
        <v>31</v>
      </c>
      <c r="L25" s="6">
        <v>7</v>
      </c>
      <c r="M25" s="6" t="s">
        <v>126</v>
      </c>
      <c r="N25" s="3">
        <f t="shared" si="0"/>
        <v>1</v>
      </c>
      <c r="O25" s="7">
        <v>5</v>
      </c>
      <c r="P25" s="7">
        <v>5</v>
      </c>
      <c r="Q25" s="7">
        <v>5</v>
      </c>
      <c r="R25" s="7">
        <v>5</v>
      </c>
      <c r="S25" s="7">
        <v>3</v>
      </c>
      <c r="T25" s="3"/>
    </row>
    <row r="26" spans="1:20" ht="409.5" customHeight="1" x14ac:dyDescent="0.25">
      <c r="A26" s="3">
        <v>1828</v>
      </c>
      <c r="B26" s="3">
        <v>2</v>
      </c>
      <c r="C26" s="3">
        <v>3</v>
      </c>
      <c r="D26" s="3" t="s">
        <v>54</v>
      </c>
      <c r="E26" s="3" t="s">
        <v>127</v>
      </c>
      <c r="F26" s="4" t="b">
        <f>TRUE()</f>
        <v>1</v>
      </c>
      <c r="G26" s="5" t="s">
        <v>56</v>
      </c>
      <c r="H26" s="5" t="s">
        <v>57</v>
      </c>
      <c r="I26" s="5" t="s">
        <v>128</v>
      </c>
      <c r="J26" s="5" t="s">
        <v>129</v>
      </c>
      <c r="K26" s="6" t="s">
        <v>57</v>
      </c>
      <c r="L26" s="6"/>
      <c r="M26" s="6" t="s">
        <v>118</v>
      </c>
      <c r="N26" s="3">
        <f t="shared" si="0"/>
        <v>1</v>
      </c>
      <c r="O26" s="7">
        <v>5</v>
      </c>
      <c r="P26" s="7">
        <v>5</v>
      </c>
      <c r="Q26" s="7">
        <v>4</v>
      </c>
      <c r="R26" s="7">
        <v>5</v>
      </c>
      <c r="S26" s="7">
        <v>5</v>
      </c>
      <c r="T26" s="3" t="s">
        <v>76</v>
      </c>
    </row>
    <row r="27" spans="1:20" ht="242.25" customHeight="1" x14ac:dyDescent="0.25">
      <c r="A27" s="3">
        <v>1828</v>
      </c>
      <c r="B27" s="3">
        <v>3</v>
      </c>
      <c r="C27" s="3">
        <v>1</v>
      </c>
      <c r="D27" s="3" t="s">
        <v>54</v>
      </c>
      <c r="E27" s="3" t="s">
        <v>130</v>
      </c>
      <c r="F27" s="4" t="b">
        <f>TRUE()</f>
        <v>1</v>
      </c>
      <c r="G27" s="5" t="s">
        <v>56</v>
      </c>
      <c r="H27" s="5" t="s">
        <v>57</v>
      </c>
      <c r="I27" s="5" t="s">
        <v>131</v>
      </c>
      <c r="J27" s="5" t="s">
        <v>132</v>
      </c>
      <c r="K27" s="6" t="s">
        <v>57</v>
      </c>
      <c r="L27" s="6"/>
      <c r="M27" s="6" t="s">
        <v>118</v>
      </c>
      <c r="N27" s="3">
        <f t="shared" si="0"/>
        <v>1</v>
      </c>
      <c r="O27" s="7">
        <v>5</v>
      </c>
      <c r="P27" s="7">
        <v>5</v>
      </c>
      <c r="Q27" s="7">
        <v>3</v>
      </c>
      <c r="R27" s="7">
        <v>5</v>
      </c>
      <c r="S27" s="7">
        <v>5</v>
      </c>
      <c r="T27" s="3" t="s">
        <v>76</v>
      </c>
    </row>
    <row r="28" spans="1:20" ht="267.75" customHeight="1" x14ac:dyDescent="0.25">
      <c r="A28" s="3">
        <v>1873</v>
      </c>
      <c r="B28" s="3">
        <v>1</v>
      </c>
      <c r="C28" s="3">
        <v>1</v>
      </c>
      <c r="D28" s="3" t="s">
        <v>20</v>
      </c>
      <c r="E28" s="3" t="s">
        <v>133</v>
      </c>
      <c r="F28" s="4" t="b">
        <f>FALSE()</f>
        <v>0</v>
      </c>
      <c r="G28" s="5">
        <v>14</v>
      </c>
      <c r="H28" s="5" t="s">
        <v>22</v>
      </c>
      <c r="I28" s="5" t="s">
        <v>134</v>
      </c>
      <c r="J28" s="5" t="s">
        <v>135</v>
      </c>
      <c r="K28" s="6" t="s">
        <v>22</v>
      </c>
      <c r="L28" s="6">
        <v>13</v>
      </c>
      <c r="M28" s="6" t="s">
        <v>136</v>
      </c>
      <c r="N28" s="3">
        <f t="shared" si="0"/>
        <v>1</v>
      </c>
      <c r="O28" s="7">
        <v>4</v>
      </c>
      <c r="P28" s="7">
        <v>5</v>
      </c>
      <c r="Q28" s="7">
        <v>5</v>
      </c>
      <c r="R28" s="7">
        <v>5</v>
      </c>
      <c r="S28" s="7">
        <v>3</v>
      </c>
      <c r="T28" s="3"/>
    </row>
    <row r="29" spans="1:20" ht="267.75" customHeight="1" x14ac:dyDescent="0.25">
      <c r="A29" s="3">
        <v>1873</v>
      </c>
      <c r="B29" s="3">
        <v>1</v>
      </c>
      <c r="C29" s="3">
        <v>2</v>
      </c>
      <c r="D29" s="3" t="s">
        <v>137</v>
      </c>
      <c r="E29" s="3" t="s">
        <v>138</v>
      </c>
      <c r="F29" s="4" t="b">
        <f>FALSE()</f>
        <v>0</v>
      </c>
      <c r="G29" s="5">
        <v>6</v>
      </c>
      <c r="H29" s="5" t="s">
        <v>31</v>
      </c>
      <c r="I29" s="5" t="s">
        <v>139</v>
      </c>
      <c r="J29" s="5" t="s">
        <v>140</v>
      </c>
      <c r="K29" s="6" t="s">
        <v>31</v>
      </c>
      <c r="L29" s="6">
        <v>6</v>
      </c>
      <c r="M29" s="6" t="s">
        <v>141</v>
      </c>
      <c r="N29" s="3">
        <f t="shared" si="0"/>
        <v>1</v>
      </c>
      <c r="O29" s="7">
        <v>5</v>
      </c>
      <c r="P29" s="7">
        <v>5</v>
      </c>
      <c r="Q29" s="7">
        <v>5</v>
      </c>
      <c r="R29" s="7">
        <v>5</v>
      </c>
      <c r="S29" s="7">
        <v>3</v>
      </c>
      <c r="T29" s="3" t="s">
        <v>142</v>
      </c>
    </row>
    <row r="30" spans="1:20" ht="382.5" customHeight="1" x14ac:dyDescent="0.25">
      <c r="A30" s="3">
        <v>1873</v>
      </c>
      <c r="B30" s="3">
        <v>1</v>
      </c>
      <c r="C30" s="3">
        <v>3</v>
      </c>
      <c r="D30" s="3" t="s">
        <v>137</v>
      </c>
      <c r="E30" s="3" t="s">
        <v>143</v>
      </c>
      <c r="F30" s="4" t="b">
        <f>FALSE()</f>
        <v>0</v>
      </c>
      <c r="G30" s="5">
        <v>20</v>
      </c>
      <c r="H30" s="5" t="s">
        <v>31</v>
      </c>
      <c r="I30" s="5" t="s">
        <v>144</v>
      </c>
      <c r="J30" s="5" t="s">
        <v>145</v>
      </c>
      <c r="K30" s="6" t="s">
        <v>31</v>
      </c>
      <c r="L30" s="6">
        <v>20</v>
      </c>
      <c r="M30" s="6" t="s">
        <v>146</v>
      </c>
      <c r="N30" s="3">
        <f t="shared" si="0"/>
        <v>1</v>
      </c>
      <c r="O30" s="7">
        <v>5</v>
      </c>
      <c r="P30" s="7">
        <v>5</v>
      </c>
      <c r="Q30" s="7">
        <v>5</v>
      </c>
      <c r="R30" s="7">
        <v>5</v>
      </c>
      <c r="S30" s="7">
        <v>4</v>
      </c>
      <c r="T30" s="3"/>
    </row>
    <row r="31" spans="1:20" ht="382.5" customHeight="1" x14ac:dyDescent="0.25">
      <c r="A31" s="3">
        <v>1873</v>
      </c>
      <c r="B31" s="3">
        <v>1</v>
      </c>
      <c r="C31" s="3">
        <v>4</v>
      </c>
      <c r="D31" s="3" t="s">
        <v>137</v>
      </c>
      <c r="E31" s="3" t="s">
        <v>147</v>
      </c>
      <c r="F31" s="4" t="b">
        <f>FALSE()</f>
        <v>0</v>
      </c>
      <c r="G31" s="5">
        <v>6</v>
      </c>
      <c r="H31" s="5" t="s">
        <v>31</v>
      </c>
      <c r="I31" s="5" t="s">
        <v>148</v>
      </c>
      <c r="J31" s="5" t="s">
        <v>149</v>
      </c>
      <c r="K31" s="6" t="s">
        <v>31</v>
      </c>
      <c r="L31" s="6">
        <v>6</v>
      </c>
      <c r="M31" s="6" t="s">
        <v>150</v>
      </c>
      <c r="N31" s="3">
        <f t="shared" si="0"/>
        <v>1</v>
      </c>
      <c r="O31" s="7">
        <v>5</v>
      </c>
      <c r="P31" s="7">
        <v>5</v>
      </c>
      <c r="Q31" s="7">
        <v>5</v>
      </c>
      <c r="R31" s="7">
        <v>5</v>
      </c>
      <c r="S31" s="7">
        <v>4</v>
      </c>
      <c r="T31" s="3"/>
    </row>
    <row r="32" spans="1:20" ht="318.75" customHeight="1" x14ac:dyDescent="0.25">
      <c r="A32" s="3">
        <v>1873</v>
      </c>
      <c r="B32" s="3">
        <v>1</v>
      </c>
      <c r="C32" s="3">
        <v>5</v>
      </c>
      <c r="D32" s="3" t="s">
        <v>20</v>
      </c>
      <c r="E32" s="3" t="s">
        <v>151</v>
      </c>
      <c r="F32" s="4" t="b">
        <f>FALSE()</f>
        <v>0</v>
      </c>
      <c r="G32" s="5">
        <v>6</v>
      </c>
      <c r="H32" s="5" t="s">
        <v>38</v>
      </c>
      <c r="I32" s="5" t="s">
        <v>152</v>
      </c>
      <c r="J32" s="5" t="s">
        <v>153</v>
      </c>
      <c r="K32" s="6" t="s">
        <v>38</v>
      </c>
      <c r="L32" s="6">
        <v>6</v>
      </c>
      <c r="M32" s="6" t="s">
        <v>154</v>
      </c>
      <c r="N32" s="3">
        <f t="shared" si="0"/>
        <v>1</v>
      </c>
      <c r="O32" s="7">
        <v>5</v>
      </c>
      <c r="P32" s="7">
        <v>5</v>
      </c>
      <c r="Q32" s="7">
        <v>5</v>
      </c>
      <c r="R32" s="7">
        <v>5</v>
      </c>
      <c r="S32" s="7">
        <v>3</v>
      </c>
      <c r="T32" s="3" t="s">
        <v>155</v>
      </c>
    </row>
    <row r="33" spans="1:20" ht="306" customHeight="1" x14ac:dyDescent="0.25">
      <c r="A33" s="3">
        <v>1873</v>
      </c>
      <c r="B33" s="3">
        <v>1</v>
      </c>
      <c r="C33" s="3">
        <v>6</v>
      </c>
      <c r="D33" s="3" t="s">
        <v>20</v>
      </c>
      <c r="E33" s="3" t="s">
        <v>156</v>
      </c>
      <c r="F33" s="4" t="b">
        <f>FALSE()</f>
        <v>0</v>
      </c>
      <c r="G33" s="5">
        <v>6</v>
      </c>
      <c r="H33" s="5" t="s">
        <v>22</v>
      </c>
      <c r="I33" s="5" t="s">
        <v>157</v>
      </c>
      <c r="J33" s="5" t="s">
        <v>158</v>
      </c>
      <c r="K33" s="6" t="s">
        <v>22</v>
      </c>
      <c r="L33" s="6">
        <v>6</v>
      </c>
      <c r="M33" s="6" t="s">
        <v>159</v>
      </c>
      <c r="N33" s="3">
        <f t="shared" si="0"/>
        <v>1</v>
      </c>
      <c r="O33" s="7">
        <v>4</v>
      </c>
      <c r="P33" s="7">
        <v>5</v>
      </c>
      <c r="Q33" s="7">
        <v>5</v>
      </c>
      <c r="R33" s="7">
        <v>5</v>
      </c>
      <c r="S33" s="7">
        <v>3</v>
      </c>
      <c r="T33" s="3"/>
    </row>
    <row r="34" spans="1:20" ht="306" customHeight="1" x14ac:dyDescent="0.25">
      <c r="A34" s="3">
        <v>1873</v>
      </c>
      <c r="B34" s="3">
        <v>1</v>
      </c>
      <c r="C34" s="3">
        <v>7</v>
      </c>
      <c r="D34" s="3" t="s">
        <v>20</v>
      </c>
      <c r="E34" s="3" t="s">
        <v>160</v>
      </c>
      <c r="F34" s="4" t="b">
        <f>FALSE()</f>
        <v>0</v>
      </c>
      <c r="G34" s="5">
        <v>6</v>
      </c>
      <c r="H34" s="5" t="s">
        <v>22</v>
      </c>
      <c r="I34" s="5" t="s">
        <v>161</v>
      </c>
      <c r="J34" s="5" t="s">
        <v>162</v>
      </c>
      <c r="K34" s="6" t="s">
        <v>22</v>
      </c>
      <c r="L34" s="6">
        <v>6</v>
      </c>
      <c r="M34" s="6" t="s">
        <v>159</v>
      </c>
      <c r="N34" s="3">
        <f t="shared" ref="N34:N51" si="1">IF(AND(H34&lt;&gt;"",K34&lt;&gt;""),IF(H34=K34,1,0),"")</f>
        <v>1</v>
      </c>
      <c r="O34" s="7">
        <v>4</v>
      </c>
      <c r="P34" s="7">
        <v>5</v>
      </c>
      <c r="Q34" s="7">
        <v>5</v>
      </c>
      <c r="R34" s="7">
        <v>5</v>
      </c>
      <c r="S34" s="7">
        <v>3</v>
      </c>
      <c r="T34" s="3"/>
    </row>
    <row r="35" spans="1:20" ht="306" customHeight="1" x14ac:dyDescent="0.25">
      <c r="A35" s="3">
        <v>1873</v>
      </c>
      <c r="B35" s="3">
        <v>1</v>
      </c>
      <c r="C35" s="3">
        <v>8</v>
      </c>
      <c r="D35" s="3" t="s">
        <v>54</v>
      </c>
      <c r="E35" s="3" t="s">
        <v>163</v>
      </c>
      <c r="F35" s="4" t="b">
        <f>TRUE()</f>
        <v>1</v>
      </c>
      <c r="G35" s="5" t="s">
        <v>56</v>
      </c>
      <c r="H35" s="5" t="s">
        <v>57</v>
      </c>
      <c r="I35" s="5" t="s">
        <v>164</v>
      </c>
      <c r="J35" s="5" t="s">
        <v>165</v>
      </c>
      <c r="K35" s="6" t="s">
        <v>57</v>
      </c>
      <c r="L35" s="6"/>
      <c r="M35" s="6" t="s">
        <v>118</v>
      </c>
      <c r="N35" s="3">
        <f t="shared" si="1"/>
        <v>1</v>
      </c>
      <c r="O35" s="7">
        <v>5</v>
      </c>
      <c r="P35" s="7">
        <v>5</v>
      </c>
      <c r="Q35" s="7">
        <v>4</v>
      </c>
      <c r="R35" s="7">
        <v>5</v>
      </c>
      <c r="S35" s="7">
        <v>5</v>
      </c>
      <c r="T35" s="3" t="s">
        <v>166</v>
      </c>
    </row>
    <row r="36" spans="1:20" ht="318.75" customHeight="1" x14ac:dyDescent="0.25">
      <c r="A36" s="3">
        <v>1873</v>
      </c>
      <c r="B36" s="3">
        <v>2</v>
      </c>
      <c r="C36" s="3">
        <v>1</v>
      </c>
      <c r="D36" s="3" t="s">
        <v>20</v>
      </c>
      <c r="E36" s="3" t="s">
        <v>167</v>
      </c>
      <c r="F36" s="4" t="b">
        <f>FALSE()</f>
        <v>0</v>
      </c>
      <c r="G36" s="5">
        <v>11</v>
      </c>
      <c r="H36" s="5" t="s">
        <v>22</v>
      </c>
      <c r="I36" s="5" t="s">
        <v>168</v>
      </c>
      <c r="J36" s="5" t="s">
        <v>169</v>
      </c>
      <c r="K36" s="6" t="s">
        <v>22</v>
      </c>
      <c r="L36" s="6">
        <v>11</v>
      </c>
      <c r="M36" s="6" t="s">
        <v>170</v>
      </c>
      <c r="N36" s="3">
        <f t="shared" si="1"/>
        <v>1</v>
      </c>
      <c r="O36" s="7">
        <v>4</v>
      </c>
      <c r="P36" s="7">
        <v>5</v>
      </c>
      <c r="Q36" s="7">
        <v>5</v>
      </c>
      <c r="R36" s="7">
        <v>5</v>
      </c>
      <c r="S36" s="7">
        <v>3</v>
      </c>
      <c r="T36" s="3"/>
    </row>
    <row r="37" spans="1:20" ht="318.75" customHeight="1" x14ac:dyDescent="0.25">
      <c r="A37" s="3">
        <v>1873</v>
      </c>
      <c r="B37" s="3">
        <v>2</v>
      </c>
      <c r="C37" s="3">
        <v>2</v>
      </c>
      <c r="D37" s="3" t="s">
        <v>20</v>
      </c>
      <c r="E37" s="3" t="s">
        <v>171</v>
      </c>
      <c r="F37" s="4" t="b">
        <f>FALSE()</f>
        <v>0</v>
      </c>
      <c r="G37" s="5">
        <v>24</v>
      </c>
      <c r="H37" s="5" t="s">
        <v>38</v>
      </c>
      <c r="I37" s="5" t="s">
        <v>172</v>
      </c>
      <c r="J37" s="5" t="s">
        <v>173</v>
      </c>
      <c r="K37" s="6" t="s">
        <v>38</v>
      </c>
      <c r="L37" s="6">
        <v>24</v>
      </c>
      <c r="M37" s="6" t="s">
        <v>174</v>
      </c>
      <c r="N37" s="3">
        <f t="shared" si="1"/>
        <v>1</v>
      </c>
      <c r="O37" s="7">
        <v>4</v>
      </c>
      <c r="P37" s="7">
        <v>5</v>
      </c>
      <c r="Q37" s="7">
        <v>5</v>
      </c>
      <c r="R37" s="7">
        <v>5</v>
      </c>
      <c r="S37" s="7">
        <v>3</v>
      </c>
      <c r="T37" s="3"/>
    </row>
    <row r="38" spans="1:20" ht="318.75" customHeight="1" x14ac:dyDescent="0.25">
      <c r="A38" s="3">
        <v>1873</v>
      </c>
      <c r="B38" s="3">
        <v>2</v>
      </c>
      <c r="C38" s="3">
        <v>3</v>
      </c>
      <c r="D38" s="3" t="s">
        <v>175</v>
      </c>
      <c r="E38" s="3" t="s">
        <v>176</v>
      </c>
      <c r="F38" s="4" t="b">
        <f>FALSE()</f>
        <v>0</v>
      </c>
      <c r="G38" s="5">
        <v>14</v>
      </c>
      <c r="H38" s="5" t="s">
        <v>38</v>
      </c>
      <c r="I38" s="5" t="s">
        <v>177</v>
      </c>
      <c r="J38" s="5" t="s">
        <v>178</v>
      </c>
      <c r="K38" s="6" t="s">
        <v>38</v>
      </c>
      <c r="L38" s="6">
        <v>14</v>
      </c>
      <c r="M38" s="6" t="s">
        <v>179</v>
      </c>
      <c r="N38" s="3">
        <f t="shared" si="1"/>
        <v>1</v>
      </c>
      <c r="O38" s="7">
        <v>5</v>
      </c>
      <c r="P38" s="7">
        <v>5</v>
      </c>
      <c r="Q38" s="7">
        <v>5</v>
      </c>
      <c r="R38" s="7">
        <v>5</v>
      </c>
      <c r="S38" s="7">
        <v>3</v>
      </c>
      <c r="T38" s="3"/>
    </row>
    <row r="39" spans="1:20" ht="318.75" customHeight="1" x14ac:dyDescent="0.25">
      <c r="A39" s="3">
        <v>1873</v>
      </c>
      <c r="B39" s="3">
        <v>2</v>
      </c>
      <c r="C39" s="3">
        <v>4</v>
      </c>
      <c r="D39" s="3" t="s">
        <v>175</v>
      </c>
      <c r="E39" s="3" t="s">
        <v>180</v>
      </c>
      <c r="F39" s="4" t="b">
        <f>FALSE()</f>
        <v>0</v>
      </c>
      <c r="G39" s="5">
        <v>8</v>
      </c>
      <c r="H39" s="5" t="s">
        <v>38</v>
      </c>
      <c r="I39" s="5" t="s">
        <v>181</v>
      </c>
      <c r="J39" s="5" t="s">
        <v>182</v>
      </c>
      <c r="K39" s="6" t="s">
        <v>38</v>
      </c>
      <c r="L39" s="6">
        <v>14</v>
      </c>
      <c r="M39" s="6" t="s">
        <v>183</v>
      </c>
      <c r="N39" s="3">
        <f t="shared" si="1"/>
        <v>1</v>
      </c>
      <c r="O39" s="7">
        <v>5</v>
      </c>
      <c r="P39" s="7">
        <v>5</v>
      </c>
      <c r="Q39" s="7">
        <v>5</v>
      </c>
      <c r="R39" s="7">
        <v>5</v>
      </c>
      <c r="S39" s="7">
        <v>4</v>
      </c>
      <c r="T39" s="3"/>
    </row>
    <row r="40" spans="1:20" ht="318.75" customHeight="1" x14ac:dyDescent="0.25">
      <c r="A40" s="3">
        <v>1873</v>
      </c>
      <c r="B40" s="3">
        <v>2</v>
      </c>
      <c r="C40" s="3">
        <v>5</v>
      </c>
      <c r="D40" s="3" t="s">
        <v>175</v>
      </c>
      <c r="E40" s="3" t="s">
        <v>176</v>
      </c>
      <c r="F40" s="4" t="b">
        <f>FALSE()</f>
        <v>0</v>
      </c>
      <c r="G40" s="5">
        <v>14</v>
      </c>
      <c r="H40" s="5" t="s">
        <v>38</v>
      </c>
      <c r="I40" s="5" t="s">
        <v>184</v>
      </c>
      <c r="J40" s="5" t="s">
        <v>185</v>
      </c>
      <c r="K40" s="6" t="s">
        <v>38</v>
      </c>
      <c r="L40" s="6">
        <v>14</v>
      </c>
      <c r="M40" s="6" t="s">
        <v>183</v>
      </c>
      <c r="N40" s="3">
        <f t="shared" si="1"/>
        <v>1</v>
      </c>
      <c r="O40" s="7">
        <v>5</v>
      </c>
      <c r="P40" s="7">
        <v>5</v>
      </c>
      <c r="Q40" s="7">
        <v>5</v>
      </c>
      <c r="R40" s="7">
        <v>5</v>
      </c>
      <c r="S40" s="7">
        <v>4</v>
      </c>
      <c r="T40" s="3"/>
    </row>
    <row r="41" spans="1:20" ht="318.75" customHeight="1" x14ac:dyDescent="0.25">
      <c r="A41" s="3">
        <v>1873</v>
      </c>
      <c r="B41" s="3">
        <v>2</v>
      </c>
      <c r="C41" s="3">
        <v>6</v>
      </c>
      <c r="D41" s="3" t="s">
        <v>175</v>
      </c>
      <c r="E41" s="3" t="s">
        <v>180</v>
      </c>
      <c r="F41" s="4" t="b">
        <f>FALSE()</f>
        <v>0</v>
      </c>
      <c r="G41" s="5">
        <v>14</v>
      </c>
      <c r="H41" s="5" t="s">
        <v>38</v>
      </c>
      <c r="I41" s="5" t="s">
        <v>186</v>
      </c>
      <c r="J41" s="5" t="s">
        <v>187</v>
      </c>
      <c r="K41" s="6" t="s">
        <v>38</v>
      </c>
      <c r="L41" s="6">
        <v>14</v>
      </c>
      <c r="M41" s="6" t="s">
        <v>183</v>
      </c>
      <c r="N41" s="3">
        <f t="shared" si="1"/>
        <v>1</v>
      </c>
      <c r="O41" s="7">
        <v>5</v>
      </c>
      <c r="P41" s="7">
        <v>5</v>
      </c>
      <c r="Q41" s="7">
        <v>5</v>
      </c>
      <c r="R41" s="7">
        <v>5</v>
      </c>
      <c r="S41" s="7">
        <v>3</v>
      </c>
      <c r="T41" s="3" t="s">
        <v>188</v>
      </c>
    </row>
    <row r="42" spans="1:20" ht="318.75" customHeight="1" x14ac:dyDescent="0.25">
      <c r="A42" s="3">
        <v>1873</v>
      </c>
      <c r="B42" s="3">
        <v>2</v>
      </c>
      <c r="C42" s="3">
        <v>7</v>
      </c>
      <c r="D42" s="3" t="s">
        <v>175</v>
      </c>
      <c r="E42" s="3" t="s">
        <v>176</v>
      </c>
      <c r="F42" s="4" t="b">
        <f>FALSE()</f>
        <v>0</v>
      </c>
      <c r="G42" s="5">
        <v>15</v>
      </c>
      <c r="H42" s="5" t="s">
        <v>38</v>
      </c>
      <c r="I42" s="5" t="s">
        <v>189</v>
      </c>
      <c r="J42" s="5" t="s">
        <v>190</v>
      </c>
      <c r="K42" s="6" t="s">
        <v>38</v>
      </c>
      <c r="L42" s="6">
        <v>14</v>
      </c>
      <c r="M42" s="6" t="s">
        <v>183</v>
      </c>
      <c r="N42" s="3">
        <f t="shared" si="1"/>
        <v>1</v>
      </c>
      <c r="O42" s="7">
        <v>5</v>
      </c>
      <c r="P42" s="7">
        <v>5</v>
      </c>
      <c r="Q42" s="7">
        <v>5</v>
      </c>
      <c r="R42" s="7">
        <v>5</v>
      </c>
      <c r="S42" s="7">
        <v>3</v>
      </c>
      <c r="T42" s="3" t="s">
        <v>191</v>
      </c>
    </row>
    <row r="43" spans="1:20" ht="318.75" customHeight="1" x14ac:dyDescent="0.25">
      <c r="A43" s="3">
        <v>1873</v>
      </c>
      <c r="B43" s="3">
        <v>2</v>
      </c>
      <c r="C43" s="3">
        <v>8</v>
      </c>
      <c r="D43" s="3" t="s">
        <v>54</v>
      </c>
      <c r="E43" s="3" t="s">
        <v>192</v>
      </c>
      <c r="F43" s="4" t="b">
        <f>FALSE()</f>
        <v>0</v>
      </c>
      <c r="G43" s="5">
        <v>8</v>
      </c>
      <c r="H43" s="5" t="s">
        <v>38</v>
      </c>
      <c r="I43" s="5" t="s">
        <v>193</v>
      </c>
      <c r="J43" s="5" t="s">
        <v>194</v>
      </c>
      <c r="K43" s="6" t="s">
        <v>38</v>
      </c>
      <c r="L43" s="6">
        <v>14</v>
      </c>
      <c r="M43" s="6" t="s">
        <v>195</v>
      </c>
      <c r="N43" s="3">
        <f t="shared" si="1"/>
        <v>1</v>
      </c>
      <c r="O43" s="7">
        <v>5</v>
      </c>
      <c r="P43" s="7">
        <v>5</v>
      </c>
      <c r="Q43" s="7">
        <v>5</v>
      </c>
      <c r="R43" s="7">
        <v>5</v>
      </c>
      <c r="S43" s="7">
        <v>4</v>
      </c>
      <c r="T43" s="3" t="s">
        <v>196</v>
      </c>
    </row>
    <row r="44" spans="1:20" ht="242.25" customHeight="1" x14ac:dyDescent="0.25">
      <c r="A44" s="3">
        <v>1873</v>
      </c>
      <c r="B44" s="3">
        <v>3</v>
      </c>
      <c r="C44" s="3">
        <v>1</v>
      </c>
      <c r="D44" s="3" t="s">
        <v>54</v>
      </c>
      <c r="E44" s="3" t="s">
        <v>197</v>
      </c>
      <c r="F44" s="4" t="b">
        <f>TRUE()</f>
        <v>1</v>
      </c>
      <c r="G44" s="5" t="s">
        <v>56</v>
      </c>
      <c r="H44" s="5" t="s">
        <v>57</v>
      </c>
      <c r="I44" s="5" t="s">
        <v>198</v>
      </c>
      <c r="J44" s="5" t="s">
        <v>199</v>
      </c>
      <c r="K44" s="6" t="s">
        <v>57</v>
      </c>
      <c r="L44" s="6"/>
      <c r="M44" s="6" t="s">
        <v>118</v>
      </c>
      <c r="N44" s="3">
        <f t="shared" si="1"/>
        <v>1</v>
      </c>
      <c r="O44" s="7">
        <v>5</v>
      </c>
      <c r="P44" s="7">
        <v>5</v>
      </c>
      <c r="Q44" s="7">
        <v>4</v>
      </c>
      <c r="R44" s="7">
        <v>5</v>
      </c>
      <c r="S44" s="7">
        <v>5</v>
      </c>
      <c r="T44" s="3" t="s">
        <v>76</v>
      </c>
    </row>
    <row r="45" spans="1:20" ht="153.75" customHeight="1" x14ac:dyDescent="0.25">
      <c r="A45" s="9">
        <v>1132</v>
      </c>
      <c r="B45" s="1">
        <v>901</v>
      </c>
      <c r="C45" s="9">
        <v>1</v>
      </c>
      <c r="D45" s="9" t="s">
        <v>29</v>
      </c>
      <c r="E45" s="10" t="s">
        <v>200</v>
      </c>
      <c r="F45" s="4" t="b">
        <f>FALSE()</f>
        <v>0</v>
      </c>
      <c r="G45" s="5">
        <v>9</v>
      </c>
      <c r="H45" s="5" t="s">
        <v>31</v>
      </c>
      <c r="I45" s="5" t="s">
        <v>201</v>
      </c>
      <c r="J45" s="5" t="s">
        <v>202</v>
      </c>
      <c r="K45" s="6" t="s">
        <v>31</v>
      </c>
      <c r="L45" s="6">
        <v>9</v>
      </c>
      <c r="M45" s="6" t="s">
        <v>203</v>
      </c>
      <c r="N45" s="3">
        <f t="shared" si="1"/>
        <v>1</v>
      </c>
      <c r="O45" s="7">
        <v>4</v>
      </c>
      <c r="P45" s="7">
        <v>5</v>
      </c>
      <c r="Q45" s="7">
        <v>5</v>
      </c>
      <c r="R45" s="7">
        <v>5</v>
      </c>
      <c r="S45" s="7">
        <v>4</v>
      </c>
      <c r="T45" s="1" t="s">
        <v>204</v>
      </c>
    </row>
    <row r="46" spans="1:20" ht="153.75" customHeight="1" x14ac:dyDescent="0.25">
      <c r="A46" s="9">
        <v>1132</v>
      </c>
      <c r="B46" s="9">
        <v>902</v>
      </c>
      <c r="C46" s="9">
        <v>1</v>
      </c>
      <c r="D46" s="11" t="s">
        <v>205</v>
      </c>
      <c r="E46" s="10" t="s">
        <v>206</v>
      </c>
      <c r="F46" s="4" t="b">
        <f>FALSE()</f>
        <v>0</v>
      </c>
      <c r="G46" s="5">
        <v>4</v>
      </c>
      <c r="H46" s="5" t="s">
        <v>22</v>
      </c>
      <c r="I46" s="5" t="s">
        <v>207</v>
      </c>
      <c r="J46" s="5" t="s">
        <v>208</v>
      </c>
      <c r="K46" s="6" t="s">
        <v>22</v>
      </c>
      <c r="L46" s="6">
        <v>4</v>
      </c>
      <c r="M46" s="6" t="s">
        <v>209</v>
      </c>
      <c r="N46" s="3">
        <f t="shared" si="1"/>
        <v>1</v>
      </c>
      <c r="O46" s="7">
        <v>4</v>
      </c>
      <c r="P46" s="7">
        <v>5</v>
      </c>
      <c r="Q46" s="7">
        <v>5</v>
      </c>
      <c r="R46" s="7">
        <v>5</v>
      </c>
      <c r="S46" s="7">
        <v>3</v>
      </c>
      <c r="T46" s="1" t="s">
        <v>210</v>
      </c>
    </row>
    <row r="47" spans="1:20" ht="105" customHeight="1" x14ac:dyDescent="0.25">
      <c r="A47" s="9">
        <v>1153</v>
      </c>
      <c r="B47" s="9">
        <v>903</v>
      </c>
      <c r="C47" s="9">
        <v>1</v>
      </c>
      <c r="D47" s="11" t="s">
        <v>29</v>
      </c>
      <c r="E47" s="12" t="s">
        <v>211</v>
      </c>
      <c r="F47" s="4" t="b">
        <f>FALSE()</f>
        <v>0</v>
      </c>
      <c r="G47" s="5">
        <v>2</v>
      </c>
      <c r="H47" s="5" t="s">
        <v>31</v>
      </c>
      <c r="I47" s="5" t="s">
        <v>212</v>
      </c>
      <c r="J47" s="5" t="s">
        <v>213</v>
      </c>
      <c r="K47" s="6" t="s">
        <v>31</v>
      </c>
      <c r="L47" s="6">
        <v>2</v>
      </c>
      <c r="M47" s="6" t="s">
        <v>214</v>
      </c>
      <c r="N47" s="3">
        <f t="shared" si="1"/>
        <v>1</v>
      </c>
      <c r="O47" s="7">
        <v>5</v>
      </c>
      <c r="P47" s="7">
        <v>5</v>
      </c>
      <c r="Q47" s="7">
        <v>5</v>
      </c>
      <c r="R47" s="7">
        <v>5</v>
      </c>
      <c r="S47" s="7">
        <v>3</v>
      </c>
      <c r="T47" s="1" t="s">
        <v>215</v>
      </c>
    </row>
    <row r="48" spans="1:20" ht="105" customHeight="1" x14ac:dyDescent="0.25">
      <c r="A48" s="9">
        <v>1153</v>
      </c>
      <c r="B48" s="9">
        <v>904</v>
      </c>
      <c r="C48" s="9">
        <v>1</v>
      </c>
      <c r="D48" s="11" t="s">
        <v>29</v>
      </c>
      <c r="E48" s="12" t="s">
        <v>216</v>
      </c>
      <c r="F48" s="4" t="b">
        <f>FALSE()</f>
        <v>0</v>
      </c>
      <c r="G48" s="5">
        <v>4</v>
      </c>
      <c r="H48" s="5" t="s">
        <v>31</v>
      </c>
      <c r="I48" s="5" t="s">
        <v>217</v>
      </c>
      <c r="J48" s="5" t="s">
        <v>218</v>
      </c>
      <c r="K48" s="6" t="s">
        <v>31</v>
      </c>
      <c r="L48" s="6">
        <v>4</v>
      </c>
      <c r="M48" s="6" t="s">
        <v>219</v>
      </c>
      <c r="N48" s="3">
        <f t="shared" si="1"/>
        <v>1</v>
      </c>
      <c r="O48" s="7">
        <v>5</v>
      </c>
      <c r="P48" s="7">
        <v>5</v>
      </c>
      <c r="Q48" s="7">
        <v>5</v>
      </c>
      <c r="R48" s="7">
        <v>5</v>
      </c>
      <c r="S48" s="7">
        <v>3</v>
      </c>
      <c r="T48" s="1" t="s">
        <v>220</v>
      </c>
    </row>
    <row r="49" spans="1:20" ht="300" customHeight="1" x14ac:dyDescent="0.25">
      <c r="A49" s="9">
        <v>1828</v>
      </c>
      <c r="B49" s="9">
        <v>905</v>
      </c>
      <c r="C49" s="9">
        <v>1</v>
      </c>
      <c r="D49" s="11" t="s">
        <v>221</v>
      </c>
      <c r="E49" s="12" t="s">
        <v>222</v>
      </c>
      <c r="F49" s="4" t="b">
        <f>FALSE()</f>
        <v>0</v>
      </c>
      <c r="G49" s="5">
        <v>7</v>
      </c>
      <c r="H49" s="5" t="s">
        <v>31</v>
      </c>
      <c r="I49" s="5" t="s">
        <v>223</v>
      </c>
      <c r="J49" s="5" t="s">
        <v>224</v>
      </c>
      <c r="K49" s="6" t="s">
        <v>31</v>
      </c>
      <c r="L49" s="6">
        <v>7</v>
      </c>
      <c r="M49" s="6" t="s">
        <v>225</v>
      </c>
      <c r="N49" s="3">
        <f t="shared" si="1"/>
        <v>1</v>
      </c>
      <c r="O49" s="7">
        <v>4</v>
      </c>
      <c r="P49" s="7">
        <v>5</v>
      </c>
      <c r="Q49" s="7">
        <v>4</v>
      </c>
      <c r="R49" s="7">
        <v>5</v>
      </c>
      <c r="S49" s="7">
        <v>4</v>
      </c>
      <c r="T49" s="1" t="s">
        <v>226</v>
      </c>
    </row>
    <row r="50" spans="1:20" ht="285" customHeight="1" x14ac:dyDescent="0.25">
      <c r="A50" s="9">
        <v>1828</v>
      </c>
      <c r="B50" s="9">
        <v>906</v>
      </c>
      <c r="C50" s="9">
        <v>1</v>
      </c>
      <c r="D50" s="11" t="s">
        <v>20</v>
      </c>
      <c r="E50" s="12" t="s">
        <v>227</v>
      </c>
      <c r="F50" s="4" t="b">
        <f>FALSE()</f>
        <v>0</v>
      </c>
      <c r="G50" s="5">
        <v>6</v>
      </c>
      <c r="H50" s="5" t="s">
        <v>38</v>
      </c>
      <c r="I50" s="5" t="s">
        <v>228</v>
      </c>
      <c r="J50" s="5" t="s">
        <v>229</v>
      </c>
      <c r="K50" s="6" t="s">
        <v>38</v>
      </c>
      <c r="L50" s="6">
        <v>6</v>
      </c>
      <c r="M50" s="6" t="s">
        <v>230</v>
      </c>
      <c r="N50" s="3">
        <f t="shared" si="1"/>
        <v>1</v>
      </c>
      <c r="O50" s="7">
        <v>3</v>
      </c>
      <c r="P50" s="7">
        <v>5</v>
      </c>
      <c r="Q50" s="7">
        <v>4</v>
      </c>
      <c r="R50" s="7">
        <v>5</v>
      </c>
      <c r="S50" s="7">
        <v>3</v>
      </c>
      <c r="T50" s="1" t="s">
        <v>231</v>
      </c>
    </row>
    <row r="51" spans="1:20" ht="300" customHeight="1" x14ac:dyDescent="0.25">
      <c r="A51" s="9">
        <v>1873</v>
      </c>
      <c r="B51" s="9">
        <v>907</v>
      </c>
      <c r="C51" s="9">
        <v>1</v>
      </c>
      <c r="D51" s="11" t="s">
        <v>232</v>
      </c>
      <c r="E51" s="12" t="s">
        <v>233</v>
      </c>
      <c r="F51" s="4" t="b">
        <f>FALSE()</f>
        <v>0</v>
      </c>
      <c r="G51" s="5">
        <v>18</v>
      </c>
      <c r="H51" s="5" t="s">
        <v>31</v>
      </c>
      <c r="I51" s="5" t="s">
        <v>234</v>
      </c>
      <c r="J51" s="5" t="s">
        <v>235</v>
      </c>
      <c r="K51" s="6" t="s">
        <v>31</v>
      </c>
      <c r="L51" s="6">
        <v>19</v>
      </c>
      <c r="M51" s="6" t="s">
        <v>236</v>
      </c>
      <c r="N51" s="3">
        <f t="shared" si="1"/>
        <v>1</v>
      </c>
      <c r="O51" s="7">
        <v>4</v>
      </c>
      <c r="P51" s="7">
        <v>5</v>
      </c>
      <c r="Q51" s="7">
        <v>4</v>
      </c>
      <c r="R51" s="7">
        <v>4</v>
      </c>
      <c r="S51" s="7">
        <v>4</v>
      </c>
      <c r="T51" s="1" t="s">
        <v>237</v>
      </c>
    </row>
    <row r="52" spans="1:20" ht="15" customHeight="1" x14ac:dyDescent="0.25">
      <c r="O52" s="7"/>
      <c r="P52" s="7"/>
      <c r="Q52" s="7"/>
      <c r="R52" s="7"/>
      <c r="S52" s="7"/>
    </row>
  </sheetData>
  <dataValidations count="3">
    <dataValidation type="whole" allowBlank="1" error="Use uma nota inteira de 1 a 5" sqref="O2:S52" xr:uid="{00000000-0002-0000-0000-000000000000}">
      <formula1>1</formula1>
      <formula2>5</formula2>
    </dataValidation>
    <dataValidation type="list" allowBlank="1" sqref="K2:K51 L44:M51" xr:uid="{00000000-0002-0000-0000-000001000000}">
      <formula1>"Sintaxe,Execução,Lógica,Nenhum (código correto)"</formula1>
      <formula2>0</formula2>
    </dataValidation>
    <dataValidation type="list" allowBlank="1" sqref="F2:F51" xr:uid="{00000000-0002-0000-0000-000002000000}">
      <formula1>"TRUE,FALSE"</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1"/>
  <sheetViews>
    <sheetView tabSelected="1" topLeftCell="I1" zoomScaleNormal="100" workbookViewId="0">
      <pane ySplit="1" topLeftCell="A23" activePane="bottomLeft" state="frozen"/>
      <selection pane="bottomLeft" activeCell="S21" sqref="S21"/>
    </sheetView>
  </sheetViews>
  <sheetFormatPr defaultColWidth="8.7109375" defaultRowHeight="15" x14ac:dyDescent="0.25"/>
  <cols>
    <col min="1" max="1" width="10" style="1" customWidth="1"/>
    <col min="2" max="3" width="8" style="1" customWidth="1"/>
    <col min="4" max="4" width="20" style="1" customWidth="1"/>
    <col min="5" max="5" width="55" style="1" customWidth="1"/>
    <col min="6" max="8" width="14" style="1" customWidth="1"/>
    <col min="9" max="10" width="40" style="1" customWidth="1"/>
    <col min="11" max="12" width="14" style="1" customWidth="1"/>
    <col min="13" max="13" width="35" style="1" customWidth="1"/>
    <col min="14" max="17" width="16" style="1" customWidth="1"/>
    <col min="18" max="18" width="12" style="1" customWidth="1"/>
    <col min="19" max="19" width="16" style="1" customWidth="1"/>
    <col min="20" max="20" width="35" style="1" customWidth="1"/>
  </cols>
  <sheetData>
    <row r="1" spans="1:20" ht="30" customHeight="1" x14ac:dyDescent="0.25">
      <c r="A1" s="2" t="s">
        <v>0</v>
      </c>
      <c r="B1" s="2" t="s">
        <v>1</v>
      </c>
      <c r="C1" s="2" t="s">
        <v>2</v>
      </c>
      <c r="D1" s="2" t="s">
        <v>3</v>
      </c>
      <c r="E1" s="2" t="s">
        <v>4</v>
      </c>
      <c r="F1" s="2" t="s">
        <v>238</v>
      </c>
      <c r="G1" s="2" t="s">
        <v>239</v>
      </c>
      <c r="H1" s="2" t="s">
        <v>240</v>
      </c>
      <c r="I1" s="2" t="s">
        <v>241</v>
      </c>
      <c r="J1" s="2" t="s">
        <v>242</v>
      </c>
      <c r="K1" s="2" t="s">
        <v>10</v>
      </c>
      <c r="L1" s="2" t="s">
        <v>11</v>
      </c>
      <c r="M1" s="2" t="s">
        <v>12</v>
      </c>
      <c r="N1" s="2" t="s">
        <v>13</v>
      </c>
      <c r="O1" s="2" t="s">
        <v>14</v>
      </c>
      <c r="P1" s="2" t="s">
        <v>15</v>
      </c>
      <c r="Q1" s="2" t="s">
        <v>16</v>
      </c>
      <c r="R1" s="2" t="s">
        <v>17</v>
      </c>
      <c r="S1" s="2" t="s">
        <v>18</v>
      </c>
      <c r="T1" s="2" t="s">
        <v>19</v>
      </c>
    </row>
    <row r="2" spans="1:20" ht="114.75" customHeight="1" x14ac:dyDescent="0.25">
      <c r="A2" s="13">
        <v>1132</v>
      </c>
      <c r="B2" s="13">
        <v>1</v>
      </c>
      <c r="C2" s="13">
        <v>1</v>
      </c>
      <c r="D2" s="13" t="s">
        <v>20</v>
      </c>
      <c r="E2" s="3" t="s">
        <v>21</v>
      </c>
      <c r="F2" s="14" t="b">
        <f>FALSE()</f>
        <v>0</v>
      </c>
      <c r="G2" s="15">
        <v>5</v>
      </c>
      <c r="H2" s="15" t="s">
        <v>31</v>
      </c>
      <c r="I2" s="15" t="s">
        <v>243</v>
      </c>
      <c r="J2" s="15" t="s">
        <v>244</v>
      </c>
      <c r="K2" s="16" t="s">
        <v>22</v>
      </c>
      <c r="L2" s="16">
        <v>6</v>
      </c>
      <c r="M2" s="16" t="s">
        <v>25</v>
      </c>
      <c r="N2" s="13">
        <f t="shared" ref="N2:N33" si="0">IF(AND(H2&lt;&gt;"",K2&lt;&gt;""),IF(H2=K2,1,0),"")</f>
        <v>0</v>
      </c>
      <c r="O2" s="25">
        <v>2</v>
      </c>
      <c r="P2" s="25">
        <v>5</v>
      </c>
      <c r="Q2" s="25">
        <v>4</v>
      </c>
      <c r="R2" s="25">
        <v>5</v>
      </c>
      <c r="S2" s="25">
        <v>3</v>
      </c>
      <c r="T2" s="26" t="s">
        <v>408</v>
      </c>
    </row>
    <row r="3" spans="1:20" ht="114.75" customHeight="1" x14ac:dyDescent="0.25">
      <c r="A3" s="13">
        <v>1132</v>
      </c>
      <c r="B3" s="13">
        <v>1</v>
      </c>
      <c r="C3" s="13">
        <v>2</v>
      </c>
      <c r="D3" s="13" t="s">
        <v>20</v>
      </c>
      <c r="E3" s="3" t="s">
        <v>26</v>
      </c>
      <c r="F3" s="14" t="b">
        <f>FALSE()</f>
        <v>0</v>
      </c>
      <c r="G3" s="15">
        <v>5</v>
      </c>
      <c r="H3" s="15" t="s">
        <v>22</v>
      </c>
      <c r="I3" s="15" t="s">
        <v>245</v>
      </c>
      <c r="J3" s="15" t="s">
        <v>246</v>
      </c>
      <c r="K3" s="16" t="s">
        <v>22</v>
      </c>
      <c r="L3" s="16">
        <v>6</v>
      </c>
      <c r="M3" s="16" t="s">
        <v>25</v>
      </c>
      <c r="N3" s="13">
        <f t="shared" si="0"/>
        <v>1</v>
      </c>
      <c r="O3" s="25">
        <v>3</v>
      </c>
      <c r="P3" s="25">
        <v>5</v>
      </c>
      <c r="Q3" s="25">
        <v>5</v>
      </c>
      <c r="R3" s="25">
        <v>5</v>
      </c>
      <c r="S3" s="25">
        <v>3</v>
      </c>
      <c r="T3" s="26" t="s">
        <v>409</v>
      </c>
    </row>
    <row r="4" spans="1:20" ht="127.5" customHeight="1" x14ac:dyDescent="0.25">
      <c r="A4" s="13">
        <v>1132</v>
      </c>
      <c r="B4" s="13">
        <v>1</v>
      </c>
      <c r="C4" s="13">
        <v>3</v>
      </c>
      <c r="D4" s="13" t="s">
        <v>29</v>
      </c>
      <c r="E4" s="3" t="s">
        <v>30</v>
      </c>
      <c r="F4" s="14" t="b">
        <f>FALSE()</f>
        <v>0</v>
      </c>
      <c r="G4" s="15">
        <v>3</v>
      </c>
      <c r="H4" s="15" t="s">
        <v>22</v>
      </c>
      <c r="I4" s="15" t="s">
        <v>247</v>
      </c>
      <c r="J4" s="15" t="s">
        <v>248</v>
      </c>
      <c r="K4" s="16" t="s">
        <v>31</v>
      </c>
      <c r="L4" s="16">
        <v>7</v>
      </c>
      <c r="M4" s="16" t="s">
        <v>34</v>
      </c>
      <c r="N4" s="13">
        <f t="shared" si="0"/>
        <v>0</v>
      </c>
      <c r="O4" s="25">
        <v>5</v>
      </c>
      <c r="P4" s="25">
        <v>5</v>
      </c>
      <c r="Q4" s="25">
        <v>2</v>
      </c>
      <c r="R4" s="25">
        <v>4</v>
      </c>
      <c r="S4" s="25">
        <v>3</v>
      </c>
      <c r="T4" s="26" t="s">
        <v>410</v>
      </c>
    </row>
    <row r="5" spans="1:20" ht="114.75" customHeight="1" x14ac:dyDescent="0.25">
      <c r="A5" s="13">
        <v>1132</v>
      </c>
      <c r="B5" s="13">
        <v>1</v>
      </c>
      <c r="C5" s="13">
        <v>4</v>
      </c>
      <c r="D5" s="13" t="s">
        <v>20</v>
      </c>
      <c r="E5" s="3" t="s">
        <v>35</v>
      </c>
      <c r="F5" s="14" t="b">
        <f>FALSE()</f>
        <v>0</v>
      </c>
      <c r="G5" s="15">
        <v>3</v>
      </c>
      <c r="H5" s="15" t="s">
        <v>22</v>
      </c>
      <c r="I5" s="15" t="s">
        <v>249</v>
      </c>
      <c r="J5" s="15" t="s">
        <v>250</v>
      </c>
      <c r="K5" s="16" t="s">
        <v>38</v>
      </c>
      <c r="L5" s="16">
        <v>3</v>
      </c>
      <c r="M5" s="16" t="s">
        <v>39</v>
      </c>
      <c r="N5" s="13">
        <f t="shared" si="0"/>
        <v>0</v>
      </c>
      <c r="O5" s="25">
        <v>5</v>
      </c>
      <c r="P5" s="25">
        <v>5</v>
      </c>
      <c r="Q5" s="25">
        <v>4</v>
      </c>
      <c r="R5" s="25">
        <v>5</v>
      </c>
      <c r="S5" s="25">
        <v>3</v>
      </c>
      <c r="T5" s="26" t="s">
        <v>411</v>
      </c>
    </row>
    <row r="6" spans="1:20" ht="114.75" customHeight="1" x14ac:dyDescent="0.25">
      <c r="A6" s="13">
        <v>1132</v>
      </c>
      <c r="B6" s="13">
        <v>1</v>
      </c>
      <c r="C6" s="13">
        <v>5</v>
      </c>
      <c r="D6" s="13" t="s">
        <v>20</v>
      </c>
      <c r="E6" s="3" t="s">
        <v>41</v>
      </c>
      <c r="F6" s="14" t="b">
        <f>FALSE()</f>
        <v>0</v>
      </c>
      <c r="G6" s="15">
        <v>3</v>
      </c>
      <c r="H6" s="15" t="s">
        <v>22</v>
      </c>
      <c r="I6" s="15" t="s">
        <v>251</v>
      </c>
      <c r="J6" s="15" t="s">
        <v>252</v>
      </c>
      <c r="K6" s="16" t="s">
        <v>38</v>
      </c>
      <c r="L6" s="16">
        <v>3</v>
      </c>
      <c r="M6" s="16" t="s">
        <v>39</v>
      </c>
      <c r="N6" s="13">
        <f t="shared" si="0"/>
        <v>0</v>
      </c>
      <c r="O6" s="25">
        <v>4</v>
      </c>
      <c r="P6" s="25">
        <v>5</v>
      </c>
      <c r="Q6" s="25">
        <v>4</v>
      </c>
      <c r="R6" s="25">
        <v>4</v>
      </c>
      <c r="S6" s="25">
        <v>3</v>
      </c>
      <c r="T6" s="26" t="s">
        <v>412</v>
      </c>
    </row>
    <row r="7" spans="1:20" ht="114.75" customHeight="1" x14ac:dyDescent="0.25">
      <c r="A7" s="13">
        <v>1132</v>
      </c>
      <c r="B7" s="13">
        <v>1</v>
      </c>
      <c r="C7" s="13">
        <v>6</v>
      </c>
      <c r="D7" s="13" t="s">
        <v>20</v>
      </c>
      <c r="E7" s="3" t="s">
        <v>45</v>
      </c>
      <c r="F7" s="14" t="b">
        <f>FALSE()</f>
        <v>0</v>
      </c>
      <c r="G7" s="15">
        <v>3</v>
      </c>
      <c r="H7" s="15" t="s">
        <v>22</v>
      </c>
      <c r="I7" s="15" t="s">
        <v>253</v>
      </c>
      <c r="J7" s="15" t="s">
        <v>254</v>
      </c>
      <c r="K7" s="16" t="s">
        <v>38</v>
      </c>
      <c r="L7" s="16">
        <v>3</v>
      </c>
      <c r="M7" s="16" t="s">
        <v>48</v>
      </c>
      <c r="N7" s="13">
        <f t="shared" si="0"/>
        <v>0</v>
      </c>
      <c r="O7" s="25">
        <v>4</v>
      </c>
      <c r="P7" s="25">
        <v>5</v>
      </c>
      <c r="Q7" s="25">
        <v>4</v>
      </c>
      <c r="R7" s="25">
        <v>5</v>
      </c>
      <c r="S7" s="25">
        <v>3</v>
      </c>
      <c r="T7" s="26" t="s">
        <v>413</v>
      </c>
    </row>
    <row r="8" spans="1:20" ht="127.5" customHeight="1" x14ac:dyDescent="0.25">
      <c r="A8" s="13">
        <v>1132</v>
      </c>
      <c r="B8" s="13">
        <v>1</v>
      </c>
      <c r="C8" s="13">
        <v>7</v>
      </c>
      <c r="D8" s="13" t="s">
        <v>29</v>
      </c>
      <c r="E8" s="3" t="s">
        <v>50</v>
      </c>
      <c r="F8" s="14" t="b">
        <f>FALSE()</f>
        <v>0</v>
      </c>
      <c r="G8" s="15">
        <v>6</v>
      </c>
      <c r="H8" s="15" t="s">
        <v>31</v>
      </c>
      <c r="I8" s="15" t="s">
        <v>255</v>
      </c>
      <c r="J8" s="15" t="s">
        <v>256</v>
      </c>
      <c r="K8" s="16" t="s">
        <v>31</v>
      </c>
      <c r="L8" s="16">
        <v>7</v>
      </c>
      <c r="M8" s="16" t="s">
        <v>53</v>
      </c>
      <c r="N8" s="13">
        <f t="shared" si="0"/>
        <v>1</v>
      </c>
      <c r="O8" s="25">
        <v>4</v>
      </c>
      <c r="P8" s="25">
        <v>5</v>
      </c>
      <c r="Q8" s="25">
        <v>5</v>
      </c>
      <c r="R8" s="25">
        <v>5</v>
      </c>
      <c r="S8" s="25">
        <v>3</v>
      </c>
      <c r="T8" s="26" t="s">
        <v>414</v>
      </c>
    </row>
    <row r="9" spans="1:20" ht="165.75" customHeight="1" x14ac:dyDescent="0.25">
      <c r="A9" s="13">
        <v>1132</v>
      </c>
      <c r="B9" s="13">
        <v>1</v>
      </c>
      <c r="C9" s="13">
        <v>8</v>
      </c>
      <c r="D9" s="13" t="s">
        <v>54</v>
      </c>
      <c r="E9" s="3" t="s">
        <v>55</v>
      </c>
      <c r="F9" s="14" t="b">
        <f>FALSE()</f>
        <v>0</v>
      </c>
      <c r="G9" s="15">
        <v>8</v>
      </c>
      <c r="H9" s="15" t="s">
        <v>31</v>
      </c>
      <c r="I9" s="15" t="s">
        <v>257</v>
      </c>
      <c r="J9" s="15" t="s">
        <v>258</v>
      </c>
      <c r="K9" s="16" t="s">
        <v>57</v>
      </c>
      <c r="L9" s="16"/>
      <c r="M9" s="16" t="s">
        <v>60</v>
      </c>
      <c r="N9" s="13">
        <f t="shared" si="0"/>
        <v>0</v>
      </c>
      <c r="O9" s="25">
        <v>5</v>
      </c>
      <c r="P9" s="25">
        <v>5</v>
      </c>
      <c r="Q9" s="25">
        <v>2</v>
      </c>
      <c r="R9" s="25">
        <v>4</v>
      </c>
      <c r="S9" s="25">
        <v>3</v>
      </c>
      <c r="T9" s="26" t="s">
        <v>415</v>
      </c>
    </row>
    <row r="10" spans="1:20" ht="165.75" customHeight="1" x14ac:dyDescent="0.25">
      <c r="A10" s="13">
        <v>1132</v>
      </c>
      <c r="B10" s="13">
        <v>2</v>
      </c>
      <c r="C10" s="13">
        <v>1</v>
      </c>
      <c r="D10" s="13" t="s">
        <v>20</v>
      </c>
      <c r="E10" s="3" t="s">
        <v>62</v>
      </c>
      <c r="F10" s="14" t="b">
        <f>FALSE()</f>
        <v>0</v>
      </c>
      <c r="G10" s="15">
        <v>5</v>
      </c>
      <c r="H10" s="15" t="s">
        <v>22</v>
      </c>
      <c r="I10" s="15" t="s">
        <v>259</v>
      </c>
      <c r="J10" s="15" t="s">
        <v>260</v>
      </c>
      <c r="K10" s="16" t="s">
        <v>38</v>
      </c>
      <c r="L10" s="16">
        <v>6</v>
      </c>
      <c r="M10" s="16" t="s">
        <v>65</v>
      </c>
      <c r="N10" s="13">
        <f t="shared" si="0"/>
        <v>0</v>
      </c>
      <c r="O10" s="25">
        <v>2</v>
      </c>
      <c r="P10" s="25">
        <v>5</v>
      </c>
      <c r="Q10" s="25">
        <v>3</v>
      </c>
      <c r="R10" s="25">
        <v>5</v>
      </c>
      <c r="S10" s="25">
        <v>4</v>
      </c>
      <c r="T10" s="26" t="s">
        <v>416</v>
      </c>
    </row>
    <row r="11" spans="1:20" ht="153" customHeight="1" x14ac:dyDescent="0.25">
      <c r="A11" s="13">
        <v>1132</v>
      </c>
      <c r="B11" s="13">
        <v>2</v>
      </c>
      <c r="C11" s="13">
        <v>2</v>
      </c>
      <c r="D11" s="13" t="s">
        <v>29</v>
      </c>
      <c r="E11" s="3" t="s">
        <v>66</v>
      </c>
      <c r="F11" s="14" t="b">
        <f>FALSE()</f>
        <v>0</v>
      </c>
      <c r="G11" s="15">
        <v>4</v>
      </c>
      <c r="H11" s="15" t="s">
        <v>31</v>
      </c>
      <c r="I11" s="15" t="s">
        <v>261</v>
      </c>
      <c r="J11" s="15" t="s">
        <v>262</v>
      </c>
      <c r="K11" s="16" t="s">
        <v>31</v>
      </c>
      <c r="L11" s="16">
        <v>6</v>
      </c>
      <c r="M11" s="16" t="s">
        <v>69</v>
      </c>
      <c r="N11" s="13">
        <f t="shared" si="0"/>
        <v>1</v>
      </c>
      <c r="O11" s="25">
        <v>3</v>
      </c>
      <c r="P11" s="25">
        <v>5</v>
      </c>
      <c r="Q11" s="25">
        <v>5</v>
      </c>
      <c r="R11" s="25">
        <v>5</v>
      </c>
      <c r="S11" s="25">
        <v>3</v>
      </c>
      <c r="T11" s="26" t="s">
        <v>417</v>
      </c>
    </row>
    <row r="12" spans="1:20" ht="153" customHeight="1" x14ac:dyDescent="0.25">
      <c r="A12" s="13">
        <v>1132</v>
      </c>
      <c r="B12" s="13">
        <v>2</v>
      </c>
      <c r="C12" s="13">
        <v>3</v>
      </c>
      <c r="D12" s="13" t="s">
        <v>29</v>
      </c>
      <c r="E12" s="3" t="s">
        <v>70</v>
      </c>
      <c r="F12" s="14" t="b">
        <f>FALSE()</f>
        <v>0</v>
      </c>
      <c r="G12" s="15">
        <v>4</v>
      </c>
      <c r="H12" s="15" t="s">
        <v>31</v>
      </c>
      <c r="I12" s="15" t="s">
        <v>263</v>
      </c>
      <c r="J12" s="15" t="s">
        <v>264</v>
      </c>
      <c r="K12" s="16" t="s">
        <v>31</v>
      </c>
      <c r="L12" s="16">
        <v>6</v>
      </c>
      <c r="M12" s="16" t="s">
        <v>69</v>
      </c>
      <c r="N12" s="13">
        <f t="shared" si="0"/>
        <v>1</v>
      </c>
      <c r="O12" s="25">
        <v>3</v>
      </c>
      <c r="P12" s="25">
        <v>5</v>
      </c>
      <c r="Q12" s="25">
        <v>5</v>
      </c>
      <c r="R12" s="25">
        <v>5</v>
      </c>
      <c r="S12" s="25">
        <v>3</v>
      </c>
      <c r="T12" s="26" t="s">
        <v>417</v>
      </c>
    </row>
    <row r="13" spans="1:20" ht="165.75" customHeight="1" x14ac:dyDescent="0.25">
      <c r="A13" s="13">
        <v>1132</v>
      </c>
      <c r="B13" s="13">
        <v>2</v>
      </c>
      <c r="C13" s="13">
        <v>4</v>
      </c>
      <c r="D13" s="13" t="s">
        <v>54</v>
      </c>
      <c r="E13" s="3" t="s">
        <v>73</v>
      </c>
      <c r="F13" s="14" t="b">
        <f>TRUE()</f>
        <v>1</v>
      </c>
      <c r="G13" s="15" t="s">
        <v>56</v>
      </c>
      <c r="H13" s="15" t="s">
        <v>57</v>
      </c>
      <c r="I13" s="15" t="s">
        <v>265</v>
      </c>
      <c r="J13" s="15" t="s">
        <v>266</v>
      </c>
      <c r="K13" s="16" t="s">
        <v>57</v>
      </c>
      <c r="L13" s="16"/>
      <c r="M13" s="16" t="s">
        <v>60</v>
      </c>
      <c r="N13" s="13">
        <f t="shared" si="0"/>
        <v>1</v>
      </c>
      <c r="O13" s="25">
        <v>5</v>
      </c>
      <c r="P13" s="25">
        <v>5</v>
      </c>
      <c r="Q13" s="25">
        <v>4</v>
      </c>
      <c r="R13" s="25">
        <v>5</v>
      </c>
      <c r="S13" s="25">
        <v>5</v>
      </c>
      <c r="T13" s="26" t="s">
        <v>418</v>
      </c>
    </row>
    <row r="14" spans="1:20" ht="153" customHeight="1" x14ac:dyDescent="0.25">
      <c r="A14" s="13">
        <v>1132</v>
      </c>
      <c r="B14" s="13">
        <v>3</v>
      </c>
      <c r="C14" s="13">
        <v>1</v>
      </c>
      <c r="D14" s="13" t="s">
        <v>20</v>
      </c>
      <c r="E14" s="3" t="s">
        <v>77</v>
      </c>
      <c r="F14" s="14" t="b">
        <f>TRUE()</f>
        <v>1</v>
      </c>
      <c r="G14" s="15" t="s">
        <v>56</v>
      </c>
      <c r="H14" s="15" t="s">
        <v>57</v>
      </c>
      <c r="I14" s="15" t="s">
        <v>267</v>
      </c>
      <c r="J14" s="15" t="s">
        <v>268</v>
      </c>
      <c r="K14" s="16" t="s">
        <v>57</v>
      </c>
      <c r="L14" s="16"/>
      <c r="M14" s="16" t="s">
        <v>80</v>
      </c>
      <c r="N14" s="13">
        <f t="shared" si="0"/>
        <v>1</v>
      </c>
      <c r="O14" s="25">
        <v>5</v>
      </c>
      <c r="P14" s="25">
        <v>5</v>
      </c>
      <c r="Q14" s="25">
        <v>4</v>
      </c>
      <c r="R14" s="25">
        <v>5</v>
      </c>
      <c r="S14" s="25">
        <v>5</v>
      </c>
      <c r="T14" s="26" t="s">
        <v>418</v>
      </c>
    </row>
    <row r="15" spans="1:20" ht="153" customHeight="1" x14ac:dyDescent="0.25">
      <c r="A15" s="13">
        <v>1132</v>
      </c>
      <c r="B15" s="13">
        <v>3</v>
      </c>
      <c r="C15" s="13">
        <v>2</v>
      </c>
      <c r="D15" s="13" t="s">
        <v>54</v>
      </c>
      <c r="E15" s="3" t="s">
        <v>82</v>
      </c>
      <c r="F15" s="14" t="b">
        <f>FALSE()</f>
        <v>0</v>
      </c>
      <c r="G15" s="15">
        <v>7</v>
      </c>
      <c r="H15" s="15" t="s">
        <v>31</v>
      </c>
      <c r="I15" s="15" t="s">
        <v>269</v>
      </c>
      <c r="J15" s="15" t="s">
        <v>270</v>
      </c>
      <c r="K15" s="16" t="s">
        <v>57</v>
      </c>
      <c r="L15" s="16"/>
      <c r="M15" s="16" t="s">
        <v>60</v>
      </c>
      <c r="N15" s="13">
        <f t="shared" si="0"/>
        <v>0</v>
      </c>
      <c r="O15" s="25">
        <v>5</v>
      </c>
      <c r="P15" s="25">
        <v>5</v>
      </c>
      <c r="Q15" s="25">
        <v>2</v>
      </c>
      <c r="R15" s="25">
        <v>4</v>
      </c>
      <c r="S15" s="25">
        <v>3</v>
      </c>
      <c r="T15" s="26" t="s">
        <v>419</v>
      </c>
    </row>
    <row r="16" spans="1:20" ht="114.75" customHeight="1" x14ac:dyDescent="0.25">
      <c r="A16" s="13">
        <v>1153</v>
      </c>
      <c r="B16" s="13">
        <v>1</v>
      </c>
      <c r="C16" s="13">
        <v>1</v>
      </c>
      <c r="D16" s="13" t="s">
        <v>54</v>
      </c>
      <c r="E16" s="3" t="s">
        <v>85</v>
      </c>
      <c r="F16" s="14" t="b">
        <f>TRUE()</f>
        <v>1</v>
      </c>
      <c r="G16" s="15" t="s">
        <v>56</v>
      </c>
      <c r="H16" s="15" t="s">
        <v>57</v>
      </c>
      <c r="I16" s="15" t="s">
        <v>271</v>
      </c>
      <c r="J16" s="15" t="s">
        <v>272</v>
      </c>
      <c r="K16" s="16" t="s">
        <v>57</v>
      </c>
      <c r="L16" s="16"/>
      <c r="M16" s="16" t="s">
        <v>88</v>
      </c>
      <c r="N16" s="13">
        <f t="shared" si="0"/>
        <v>1</v>
      </c>
      <c r="O16" s="25">
        <v>5</v>
      </c>
      <c r="P16" s="25">
        <v>5</v>
      </c>
      <c r="Q16" s="25">
        <v>4</v>
      </c>
      <c r="R16" s="25">
        <v>5</v>
      </c>
      <c r="S16" s="25">
        <v>5</v>
      </c>
      <c r="T16" s="26" t="s">
        <v>420</v>
      </c>
    </row>
    <row r="17" spans="1:20" ht="114.75" customHeight="1" x14ac:dyDescent="0.25">
      <c r="A17" s="13">
        <v>1153</v>
      </c>
      <c r="B17" s="13">
        <v>2</v>
      </c>
      <c r="C17" s="13">
        <v>1</v>
      </c>
      <c r="D17" s="13" t="s">
        <v>29</v>
      </c>
      <c r="E17" s="3" t="s">
        <v>90</v>
      </c>
      <c r="F17" s="14" t="b">
        <f>FALSE()</f>
        <v>0</v>
      </c>
      <c r="G17" s="15">
        <v>6</v>
      </c>
      <c r="H17" s="15" t="s">
        <v>31</v>
      </c>
      <c r="I17" s="15" t="s">
        <v>273</v>
      </c>
      <c r="J17" s="15" t="s">
        <v>274</v>
      </c>
      <c r="K17" s="16" t="s">
        <v>31</v>
      </c>
      <c r="L17" s="16">
        <v>7</v>
      </c>
      <c r="M17" s="16" t="s">
        <v>93</v>
      </c>
      <c r="N17" s="13">
        <f t="shared" si="0"/>
        <v>1</v>
      </c>
      <c r="O17" s="25">
        <v>2</v>
      </c>
      <c r="P17" s="25">
        <v>5</v>
      </c>
      <c r="Q17" s="25">
        <v>5</v>
      </c>
      <c r="R17" s="25">
        <v>5</v>
      </c>
      <c r="S17" s="25">
        <v>3</v>
      </c>
      <c r="T17" s="26" t="s">
        <v>421</v>
      </c>
    </row>
    <row r="18" spans="1:20" ht="127.5" customHeight="1" x14ac:dyDescent="0.25">
      <c r="A18" s="13">
        <v>1153</v>
      </c>
      <c r="B18" s="13">
        <v>2</v>
      </c>
      <c r="C18" s="13">
        <v>2</v>
      </c>
      <c r="D18" s="13" t="s">
        <v>20</v>
      </c>
      <c r="E18" s="3" t="s">
        <v>95</v>
      </c>
      <c r="F18" s="14" t="b">
        <f>FALSE()</f>
        <v>0</v>
      </c>
      <c r="G18" s="15">
        <v>7</v>
      </c>
      <c r="H18" s="15" t="s">
        <v>22</v>
      </c>
      <c r="I18" s="15" t="s">
        <v>275</v>
      </c>
      <c r="J18" s="15" t="s">
        <v>276</v>
      </c>
      <c r="K18" s="16" t="s">
        <v>22</v>
      </c>
      <c r="L18" s="16">
        <v>6</v>
      </c>
      <c r="M18" s="16" t="s">
        <v>98</v>
      </c>
      <c r="N18" s="13">
        <f t="shared" si="0"/>
        <v>1</v>
      </c>
      <c r="O18" s="25">
        <v>5</v>
      </c>
      <c r="P18" s="25">
        <v>5</v>
      </c>
      <c r="Q18" s="25">
        <v>5</v>
      </c>
      <c r="R18" s="25">
        <v>5</v>
      </c>
      <c r="S18" s="25">
        <v>3</v>
      </c>
      <c r="T18" s="26" t="s">
        <v>422</v>
      </c>
    </row>
    <row r="19" spans="1:20" ht="140.25" customHeight="1" x14ac:dyDescent="0.25">
      <c r="A19" s="13">
        <v>1153</v>
      </c>
      <c r="B19" s="13">
        <v>2</v>
      </c>
      <c r="C19" s="13">
        <v>3</v>
      </c>
      <c r="D19" s="13" t="s">
        <v>54</v>
      </c>
      <c r="E19" s="3" t="s">
        <v>99</v>
      </c>
      <c r="F19" s="14" t="b">
        <f>FALSE()</f>
        <v>0</v>
      </c>
      <c r="G19" s="15">
        <v>4</v>
      </c>
      <c r="H19" s="15" t="s">
        <v>31</v>
      </c>
      <c r="I19" s="15" t="s">
        <v>277</v>
      </c>
      <c r="J19" s="15" t="s">
        <v>278</v>
      </c>
      <c r="K19" s="16" t="s">
        <v>57</v>
      </c>
      <c r="L19" s="16"/>
      <c r="M19" s="16" t="s">
        <v>102</v>
      </c>
      <c r="N19" s="13">
        <f t="shared" si="0"/>
        <v>0</v>
      </c>
      <c r="O19" s="25">
        <v>5</v>
      </c>
      <c r="P19" s="25">
        <v>5</v>
      </c>
      <c r="Q19" s="25">
        <v>3</v>
      </c>
      <c r="R19" s="25">
        <v>5</v>
      </c>
      <c r="S19" s="25">
        <v>3</v>
      </c>
      <c r="T19" s="26" t="s">
        <v>423</v>
      </c>
    </row>
    <row r="20" spans="1:20" ht="63.75" customHeight="1" x14ac:dyDescent="0.25">
      <c r="A20" s="13">
        <v>1153</v>
      </c>
      <c r="B20" s="13">
        <v>3</v>
      </c>
      <c r="C20" s="13">
        <v>1</v>
      </c>
      <c r="D20" s="13" t="s">
        <v>54</v>
      </c>
      <c r="E20" s="3" t="s">
        <v>103</v>
      </c>
      <c r="F20" s="14" t="b">
        <f>TRUE()</f>
        <v>1</v>
      </c>
      <c r="G20" s="15" t="s">
        <v>56</v>
      </c>
      <c r="H20" s="15" t="s">
        <v>57</v>
      </c>
      <c r="I20" s="15" t="s">
        <v>279</v>
      </c>
      <c r="J20" s="15" t="s">
        <v>280</v>
      </c>
      <c r="K20" s="16" t="s">
        <v>57</v>
      </c>
      <c r="L20" s="16"/>
      <c r="M20" s="16" t="s">
        <v>102</v>
      </c>
      <c r="N20" s="13">
        <f t="shared" si="0"/>
        <v>1</v>
      </c>
      <c r="O20" s="25">
        <v>5</v>
      </c>
      <c r="P20" s="25">
        <v>5</v>
      </c>
      <c r="Q20" s="25">
        <v>4</v>
      </c>
      <c r="R20" s="25">
        <v>5</v>
      </c>
      <c r="S20" s="25">
        <v>4</v>
      </c>
      <c r="T20" s="26" t="s">
        <v>424</v>
      </c>
    </row>
    <row r="21" spans="1:20" ht="293.25" customHeight="1" x14ac:dyDescent="0.25">
      <c r="A21" s="13">
        <v>1828</v>
      </c>
      <c r="B21" s="13">
        <v>1</v>
      </c>
      <c r="C21" s="13">
        <v>1</v>
      </c>
      <c r="D21" s="13" t="s">
        <v>20</v>
      </c>
      <c r="E21" s="3" t="s">
        <v>106</v>
      </c>
      <c r="F21" s="14" t="b">
        <f>FALSE()</f>
        <v>0</v>
      </c>
      <c r="G21" s="15">
        <v>14</v>
      </c>
      <c r="H21" s="15" t="s">
        <v>22</v>
      </c>
      <c r="I21" s="15" t="s">
        <v>281</v>
      </c>
      <c r="J21" s="15" t="s">
        <v>282</v>
      </c>
      <c r="K21" s="16" t="s">
        <v>22</v>
      </c>
      <c r="L21" s="16">
        <v>16</v>
      </c>
      <c r="M21" s="16" t="s">
        <v>109</v>
      </c>
      <c r="N21" s="13">
        <f t="shared" si="0"/>
        <v>1</v>
      </c>
      <c r="O21" s="25">
        <v>2</v>
      </c>
      <c r="P21" s="25">
        <v>5</v>
      </c>
      <c r="Q21" s="25">
        <v>4</v>
      </c>
      <c r="R21" s="25">
        <v>5</v>
      </c>
      <c r="S21" s="27">
        <v>3</v>
      </c>
      <c r="T21" s="26" t="s">
        <v>425</v>
      </c>
    </row>
    <row r="22" spans="1:20" ht="293.25" customHeight="1" x14ac:dyDescent="0.25">
      <c r="A22" s="13">
        <v>1828</v>
      </c>
      <c r="B22" s="13">
        <v>1</v>
      </c>
      <c r="C22" s="13">
        <v>2</v>
      </c>
      <c r="D22" s="13" t="s">
        <v>110</v>
      </c>
      <c r="E22" s="3" t="s">
        <v>111</v>
      </c>
      <c r="F22" s="14" t="b">
        <f>FALSE()</f>
        <v>0</v>
      </c>
      <c r="G22" s="15">
        <v>9</v>
      </c>
      <c r="H22" s="15" t="s">
        <v>22</v>
      </c>
      <c r="I22" s="15" t="s">
        <v>283</v>
      </c>
      <c r="J22" s="15" t="s">
        <v>284</v>
      </c>
      <c r="K22" s="16" t="s">
        <v>31</v>
      </c>
      <c r="L22" s="16">
        <v>3</v>
      </c>
      <c r="M22" s="16" t="s">
        <v>114</v>
      </c>
      <c r="N22" s="13">
        <f t="shared" si="0"/>
        <v>0</v>
      </c>
      <c r="O22" s="25">
        <v>5</v>
      </c>
      <c r="P22" s="25">
        <v>5</v>
      </c>
      <c r="Q22" s="25">
        <v>3</v>
      </c>
      <c r="R22" s="25">
        <v>4</v>
      </c>
      <c r="S22" s="25">
        <v>3</v>
      </c>
      <c r="T22" s="26" t="s">
        <v>426</v>
      </c>
    </row>
    <row r="23" spans="1:20" ht="293.25" customHeight="1" x14ac:dyDescent="0.25">
      <c r="A23" s="13">
        <v>1828</v>
      </c>
      <c r="B23" s="13">
        <v>1</v>
      </c>
      <c r="C23" s="13">
        <v>3</v>
      </c>
      <c r="D23" s="13" t="s">
        <v>54</v>
      </c>
      <c r="E23" s="3" t="s">
        <v>115</v>
      </c>
      <c r="F23" s="14" t="b">
        <f>FALSE()</f>
        <v>0</v>
      </c>
      <c r="G23" s="15">
        <v>8</v>
      </c>
      <c r="H23" s="15" t="s">
        <v>22</v>
      </c>
      <c r="I23" s="15" t="s">
        <v>285</v>
      </c>
      <c r="J23" s="15" t="s">
        <v>286</v>
      </c>
      <c r="K23" s="16" t="s">
        <v>57</v>
      </c>
      <c r="L23" s="16"/>
      <c r="M23" s="16" t="s">
        <v>118</v>
      </c>
      <c r="N23" s="13">
        <f t="shared" si="0"/>
        <v>0</v>
      </c>
      <c r="O23" s="25">
        <v>5</v>
      </c>
      <c r="P23" s="25">
        <v>5</v>
      </c>
      <c r="Q23" s="25">
        <v>3</v>
      </c>
      <c r="R23" s="25">
        <v>4</v>
      </c>
      <c r="S23" s="25">
        <v>3</v>
      </c>
      <c r="T23" s="26" t="s">
        <v>427</v>
      </c>
    </row>
    <row r="24" spans="1:20" ht="409.5" customHeight="1" x14ac:dyDescent="0.25">
      <c r="A24" s="13">
        <v>1828</v>
      </c>
      <c r="B24" s="13">
        <v>2</v>
      </c>
      <c r="C24" s="13">
        <v>1</v>
      </c>
      <c r="D24" s="13" t="s">
        <v>20</v>
      </c>
      <c r="E24" s="3" t="s">
        <v>119</v>
      </c>
      <c r="F24" s="14" t="b">
        <f>FALSE()</f>
        <v>0</v>
      </c>
      <c r="G24" s="15">
        <v>6</v>
      </c>
      <c r="H24" s="15" t="s">
        <v>22</v>
      </c>
      <c r="I24" s="15" t="s">
        <v>287</v>
      </c>
      <c r="J24" s="15" t="s">
        <v>288</v>
      </c>
      <c r="K24" s="16" t="s">
        <v>22</v>
      </c>
      <c r="L24" s="16">
        <v>7</v>
      </c>
      <c r="M24" s="16" t="s">
        <v>122</v>
      </c>
      <c r="N24" s="13">
        <f t="shared" si="0"/>
        <v>1</v>
      </c>
      <c r="O24" s="25">
        <v>3</v>
      </c>
      <c r="P24" s="25">
        <v>5</v>
      </c>
      <c r="Q24" s="25">
        <v>4</v>
      </c>
      <c r="R24" s="25">
        <v>5</v>
      </c>
      <c r="S24" s="25">
        <v>3</v>
      </c>
      <c r="T24" s="26" t="s">
        <v>428</v>
      </c>
    </row>
    <row r="25" spans="1:20" ht="409.5" customHeight="1" x14ac:dyDescent="0.25">
      <c r="A25" s="13">
        <v>1828</v>
      </c>
      <c r="B25" s="13">
        <v>2</v>
      </c>
      <c r="C25" s="13">
        <v>2</v>
      </c>
      <c r="D25" s="13" t="s">
        <v>29</v>
      </c>
      <c r="E25" s="3" t="s">
        <v>123</v>
      </c>
      <c r="F25" s="14" t="b">
        <f>FALSE()</f>
        <v>0</v>
      </c>
      <c r="G25" s="15">
        <v>6</v>
      </c>
      <c r="H25" s="15" t="s">
        <v>22</v>
      </c>
      <c r="I25" s="15" t="s">
        <v>289</v>
      </c>
      <c r="J25" s="15" t="s">
        <v>290</v>
      </c>
      <c r="K25" s="16" t="s">
        <v>31</v>
      </c>
      <c r="L25" s="16">
        <v>7</v>
      </c>
      <c r="M25" s="16" t="s">
        <v>126</v>
      </c>
      <c r="N25" s="13">
        <f t="shared" si="0"/>
        <v>0</v>
      </c>
      <c r="O25" s="25">
        <v>3</v>
      </c>
      <c r="P25" s="25">
        <v>5</v>
      </c>
      <c r="Q25" s="25">
        <v>4</v>
      </c>
      <c r="R25" s="25">
        <v>5</v>
      </c>
      <c r="S25" s="25">
        <v>3</v>
      </c>
      <c r="T25" s="26" t="s">
        <v>429</v>
      </c>
    </row>
    <row r="26" spans="1:20" ht="409.5" customHeight="1" x14ac:dyDescent="0.25">
      <c r="A26" s="13">
        <v>1828</v>
      </c>
      <c r="B26" s="13">
        <v>2</v>
      </c>
      <c r="C26" s="13">
        <v>3</v>
      </c>
      <c r="D26" s="13" t="s">
        <v>54</v>
      </c>
      <c r="E26" s="3" t="s">
        <v>127</v>
      </c>
      <c r="F26" s="14" t="b">
        <f>FALSE()</f>
        <v>0</v>
      </c>
      <c r="G26" s="15">
        <v>10</v>
      </c>
      <c r="H26" s="15" t="s">
        <v>31</v>
      </c>
      <c r="I26" s="15" t="s">
        <v>291</v>
      </c>
      <c r="J26" s="15" t="s">
        <v>292</v>
      </c>
      <c r="K26" s="16" t="s">
        <v>57</v>
      </c>
      <c r="L26" s="16"/>
      <c r="M26" s="16" t="s">
        <v>118</v>
      </c>
      <c r="N26" s="13">
        <f t="shared" si="0"/>
        <v>0</v>
      </c>
      <c r="O26" s="25">
        <v>5</v>
      </c>
      <c r="P26" s="25">
        <v>5</v>
      </c>
      <c r="Q26" s="25">
        <v>3</v>
      </c>
      <c r="R26" s="25">
        <v>4</v>
      </c>
      <c r="S26" s="25">
        <v>3</v>
      </c>
      <c r="T26" s="26" t="s">
        <v>430</v>
      </c>
    </row>
    <row r="27" spans="1:20" ht="242.25" customHeight="1" x14ac:dyDescent="0.25">
      <c r="A27" s="13">
        <v>1828</v>
      </c>
      <c r="B27" s="13">
        <v>3</v>
      </c>
      <c r="C27" s="13">
        <v>1</v>
      </c>
      <c r="D27" s="13" t="s">
        <v>54</v>
      </c>
      <c r="E27" s="3" t="s">
        <v>130</v>
      </c>
      <c r="F27" s="14" t="b">
        <f>TRUE()</f>
        <v>1</v>
      </c>
      <c r="G27" s="15" t="s">
        <v>56</v>
      </c>
      <c r="H27" s="15" t="s">
        <v>57</v>
      </c>
      <c r="I27" s="15" t="s">
        <v>293</v>
      </c>
      <c r="J27" s="15" t="s">
        <v>294</v>
      </c>
      <c r="K27" s="16" t="s">
        <v>57</v>
      </c>
      <c r="L27" s="16"/>
      <c r="M27" s="16" t="s">
        <v>118</v>
      </c>
      <c r="N27" s="13">
        <f t="shared" si="0"/>
        <v>1</v>
      </c>
      <c r="O27" s="25">
        <v>5</v>
      </c>
      <c r="P27" s="25">
        <v>5</v>
      </c>
      <c r="Q27" s="25">
        <v>4</v>
      </c>
      <c r="R27" s="25">
        <v>5</v>
      </c>
      <c r="S27" s="25">
        <v>5</v>
      </c>
      <c r="T27" s="26" t="s">
        <v>424</v>
      </c>
    </row>
    <row r="28" spans="1:20" ht="267.75" customHeight="1" x14ac:dyDescent="0.25">
      <c r="A28" s="13">
        <v>1873</v>
      </c>
      <c r="B28" s="13">
        <v>1</v>
      </c>
      <c r="C28" s="13">
        <v>1</v>
      </c>
      <c r="D28" s="13" t="s">
        <v>20</v>
      </c>
      <c r="E28" s="3" t="s">
        <v>133</v>
      </c>
      <c r="F28" s="14" t="b">
        <f>FALSE()</f>
        <v>0</v>
      </c>
      <c r="G28" s="15">
        <v>10</v>
      </c>
      <c r="H28" s="15" t="s">
        <v>22</v>
      </c>
      <c r="I28" s="15" t="s">
        <v>295</v>
      </c>
      <c r="J28" s="15" t="s">
        <v>296</v>
      </c>
      <c r="K28" s="16" t="s">
        <v>22</v>
      </c>
      <c r="L28" s="16">
        <v>13</v>
      </c>
      <c r="M28" s="16" t="s">
        <v>136</v>
      </c>
      <c r="N28" s="13">
        <f t="shared" si="0"/>
        <v>1</v>
      </c>
      <c r="O28" s="25">
        <v>4</v>
      </c>
      <c r="P28" s="25">
        <v>4</v>
      </c>
      <c r="Q28" s="25">
        <v>4</v>
      </c>
      <c r="R28" s="25">
        <v>4</v>
      </c>
      <c r="S28" s="25">
        <v>3</v>
      </c>
      <c r="T28" s="26" t="s">
        <v>431</v>
      </c>
    </row>
    <row r="29" spans="1:20" ht="267.75" customHeight="1" x14ac:dyDescent="0.25">
      <c r="A29" s="13">
        <v>1873</v>
      </c>
      <c r="B29" s="13">
        <v>1</v>
      </c>
      <c r="C29" s="13">
        <v>2</v>
      </c>
      <c r="D29" s="13" t="s">
        <v>137</v>
      </c>
      <c r="E29" s="3" t="s">
        <v>138</v>
      </c>
      <c r="F29" s="14" t="b">
        <f>FALSE()</f>
        <v>0</v>
      </c>
      <c r="G29" s="15">
        <v>10</v>
      </c>
      <c r="H29" s="15" t="s">
        <v>31</v>
      </c>
      <c r="I29" s="15" t="s">
        <v>297</v>
      </c>
      <c r="J29" s="15" t="s">
        <v>298</v>
      </c>
      <c r="K29" s="16" t="s">
        <v>31</v>
      </c>
      <c r="L29" s="16">
        <v>6</v>
      </c>
      <c r="M29" s="16" t="s">
        <v>141</v>
      </c>
      <c r="N29" s="13">
        <f t="shared" si="0"/>
        <v>1</v>
      </c>
      <c r="O29" s="25">
        <v>2</v>
      </c>
      <c r="P29" s="25">
        <v>5</v>
      </c>
      <c r="Q29" s="25">
        <v>5</v>
      </c>
      <c r="R29" s="25">
        <v>5</v>
      </c>
      <c r="S29" s="25">
        <v>3</v>
      </c>
      <c r="T29" s="26" t="s">
        <v>432</v>
      </c>
    </row>
    <row r="30" spans="1:20" ht="382.5" customHeight="1" x14ac:dyDescent="0.25">
      <c r="A30" s="13">
        <v>1873</v>
      </c>
      <c r="B30" s="13">
        <v>1</v>
      </c>
      <c r="C30" s="13">
        <v>3</v>
      </c>
      <c r="D30" s="13" t="s">
        <v>137</v>
      </c>
      <c r="E30" s="3" t="s">
        <v>143</v>
      </c>
      <c r="F30" s="14" t="b">
        <f>FALSE()</f>
        <v>0</v>
      </c>
      <c r="G30" s="15">
        <v>14</v>
      </c>
      <c r="H30" s="15" t="s">
        <v>22</v>
      </c>
      <c r="I30" s="15" t="s">
        <v>299</v>
      </c>
      <c r="J30" s="15" t="s">
        <v>300</v>
      </c>
      <c r="K30" s="16" t="s">
        <v>31</v>
      </c>
      <c r="L30" s="16">
        <v>20</v>
      </c>
      <c r="M30" s="16" t="s">
        <v>146</v>
      </c>
      <c r="N30" s="13">
        <f t="shared" si="0"/>
        <v>0</v>
      </c>
      <c r="O30" s="25">
        <v>5</v>
      </c>
      <c r="P30" s="25">
        <v>5</v>
      </c>
      <c r="Q30" s="25">
        <v>3</v>
      </c>
      <c r="R30" s="25">
        <v>4</v>
      </c>
      <c r="S30" s="25">
        <v>3</v>
      </c>
      <c r="T30" s="26" t="s">
        <v>433</v>
      </c>
    </row>
    <row r="31" spans="1:20" ht="382.5" customHeight="1" x14ac:dyDescent="0.25">
      <c r="A31" s="13">
        <v>1873</v>
      </c>
      <c r="B31" s="13">
        <v>1</v>
      </c>
      <c r="C31" s="13">
        <v>4</v>
      </c>
      <c r="D31" s="13" t="s">
        <v>137</v>
      </c>
      <c r="E31" s="3" t="s">
        <v>147</v>
      </c>
      <c r="F31" s="14" t="b">
        <f>FALSE()</f>
        <v>0</v>
      </c>
      <c r="G31" s="15">
        <v>15</v>
      </c>
      <c r="H31" s="15" t="s">
        <v>22</v>
      </c>
      <c r="I31" s="15" t="s">
        <v>301</v>
      </c>
      <c r="J31" s="15" t="s">
        <v>302</v>
      </c>
      <c r="K31" s="16" t="s">
        <v>31</v>
      </c>
      <c r="L31" s="16">
        <v>6</v>
      </c>
      <c r="M31" s="16" t="s">
        <v>150</v>
      </c>
      <c r="N31" s="13">
        <f t="shared" si="0"/>
        <v>0</v>
      </c>
      <c r="O31" s="25">
        <v>4</v>
      </c>
      <c r="P31" s="25">
        <v>5</v>
      </c>
      <c r="Q31" s="25">
        <v>3</v>
      </c>
      <c r="R31" s="25">
        <v>4</v>
      </c>
      <c r="S31" s="25">
        <v>3</v>
      </c>
      <c r="T31" s="26" t="s">
        <v>434</v>
      </c>
    </row>
    <row r="32" spans="1:20" ht="318.75" customHeight="1" x14ac:dyDescent="0.25">
      <c r="A32" s="13">
        <v>1873</v>
      </c>
      <c r="B32" s="13">
        <v>1</v>
      </c>
      <c r="C32" s="13">
        <v>5</v>
      </c>
      <c r="D32" s="13" t="s">
        <v>20</v>
      </c>
      <c r="E32" s="3" t="s">
        <v>151</v>
      </c>
      <c r="F32" s="14" t="b">
        <f>FALSE()</f>
        <v>0</v>
      </c>
      <c r="G32" s="15">
        <v>12</v>
      </c>
      <c r="H32" s="15" t="s">
        <v>22</v>
      </c>
      <c r="I32" s="15" t="s">
        <v>283</v>
      </c>
      <c r="J32" s="15" t="s">
        <v>303</v>
      </c>
      <c r="K32" s="16" t="s">
        <v>38</v>
      </c>
      <c r="L32" s="16">
        <v>6</v>
      </c>
      <c r="M32" s="16" t="s">
        <v>154</v>
      </c>
      <c r="N32" s="13">
        <f t="shared" si="0"/>
        <v>0</v>
      </c>
      <c r="O32" s="25">
        <v>2</v>
      </c>
      <c r="P32" s="25">
        <v>5</v>
      </c>
      <c r="Q32" s="25">
        <v>2</v>
      </c>
      <c r="R32" s="25">
        <v>4</v>
      </c>
      <c r="S32" s="25">
        <v>3</v>
      </c>
      <c r="T32" s="26" t="s">
        <v>435</v>
      </c>
    </row>
    <row r="33" spans="1:20" ht="306" customHeight="1" x14ac:dyDescent="0.25">
      <c r="A33" s="13">
        <v>1873</v>
      </c>
      <c r="B33" s="13">
        <v>1</v>
      </c>
      <c r="C33" s="13">
        <v>6</v>
      </c>
      <c r="D33" s="13" t="s">
        <v>20</v>
      </c>
      <c r="E33" s="3" t="s">
        <v>156</v>
      </c>
      <c r="F33" s="14" t="b">
        <f>FALSE()</f>
        <v>0</v>
      </c>
      <c r="G33" s="15">
        <v>8</v>
      </c>
      <c r="H33" s="15" t="s">
        <v>22</v>
      </c>
      <c r="I33" s="15" t="s">
        <v>304</v>
      </c>
      <c r="J33" s="15" t="s">
        <v>305</v>
      </c>
      <c r="K33" s="16" t="s">
        <v>22</v>
      </c>
      <c r="L33" s="16">
        <v>6</v>
      </c>
      <c r="M33" s="16" t="s">
        <v>159</v>
      </c>
      <c r="N33" s="13">
        <f t="shared" si="0"/>
        <v>1</v>
      </c>
      <c r="O33" s="25">
        <v>5</v>
      </c>
      <c r="P33" s="25">
        <v>5</v>
      </c>
      <c r="Q33" s="25">
        <v>5</v>
      </c>
      <c r="R33" s="25">
        <v>5</v>
      </c>
      <c r="S33" s="25">
        <v>3</v>
      </c>
      <c r="T33" s="26" t="s">
        <v>436</v>
      </c>
    </row>
    <row r="34" spans="1:20" ht="306" customHeight="1" x14ac:dyDescent="0.25">
      <c r="A34" s="13">
        <v>1873</v>
      </c>
      <c r="B34" s="13">
        <v>1</v>
      </c>
      <c r="C34" s="13">
        <v>7</v>
      </c>
      <c r="D34" s="13" t="s">
        <v>20</v>
      </c>
      <c r="E34" s="3" t="s">
        <v>160</v>
      </c>
      <c r="F34" s="14" t="b">
        <f>FALSE()</f>
        <v>0</v>
      </c>
      <c r="G34" s="15">
        <v>5</v>
      </c>
      <c r="H34" s="15" t="s">
        <v>22</v>
      </c>
      <c r="I34" s="15" t="s">
        <v>306</v>
      </c>
      <c r="J34" s="15" t="s">
        <v>307</v>
      </c>
      <c r="K34" s="16" t="s">
        <v>22</v>
      </c>
      <c r="L34" s="16">
        <v>6</v>
      </c>
      <c r="M34" s="16" t="s">
        <v>159</v>
      </c>
      <c r="N34" s="13">
        <f t="shared" ref="N34:N51" si="1">IF(AND(H34&lt;&gt;"",K34&lt;&gt;""),IF(H34=K34,1,0),"")</f>
        <v>1</v>
      </c>
      <c r="O34" s="25">
        <v>4</v>
      </c>
      <c r="P34" s="25">
        <v>5</v>
      </c>
      <c r="Q34" s="25">
        <v>5</v>
      </c>
      <c r="R34" s="25">
        <v>5</v>
      </c>
      <c r="S34" s="25">
        <v>3</v>
      </c>
      <c r="T34" s="26" t="s">
        <v>437</v>
      </c>
    </row>
    <row r="35" spans="1:20" ht="306" customHeight="1" x14ac:dyDescent="0.25">
      <c r="A35" s="13">
        <v>1873</v>
      </c>
      <c r="B35" s="13">
        <v>1</v>
      </c>
      <c r="C35" s="13">
        <v>8</v>
      </c>
      <c r="D35" s="13" t="s">
        <v>54</v>
      </c>
      <c r="E35" s="3" t="s">
        <v>163</v>
      </c>
      <c r="F35" s="14" t="b">
        <f>FALSE()</f>
        <v>0</v>
      </c>
      <c r="G35" s="15">
        <v>10</v>
      </c>
      <c r="H35" s="15" t="s">
        <v>31</v>
      </c>
      <c r="I35" s="15" t="s">
        <v>308</v>
      </c>
      <c r="J35" s="15" t="s">
        <v>309</v>
      </c>
      <c r="K35" s="16" t="s">
        <v>57</v>
      </c>
      <c r="L35" s="16"/>
      <c r="M35" s="16" t="s">
        <v>118</v>
      </c>
      <c r="N35" s="13">
        <f t="shared" si="1"/>
        <v>0</v>
      </c>
      <c r="O35" s="25">
        <v>5</v>
      </c>
      <c r="P35" s="25">
        <v>5</v>
      </c>
      <c r="Q35" s="25">
        <v>3</v>
      </c>
      <c r="R35" s="25">
        <v>4</v>
      </c>
      <c r="S35" s="25">
        <v>3</v>
      </c>
      <c r="T35" s="26" t="s">
        <v>430</v>
      </c>
    </row>
    <row r="36" spans="1:20" ht="318.75" customHeight="1" x14ac:dyDescent="0.25">
      <c r="A36" s="13">
        <v>1873</v>
      </c>
      <c r="B36" s="13">
        <v>2</v>
      </c>
      <c r="C36" s="13">
        <v>1</v>
      </c>
      <c r="D36" s="13" t="s">
        <v>20</v>
      </c>
      <c r="E36" s="3" t="s">
        <v>167</v>
      </c>
      <c r="F36" s="14" t="b">
        <f>FALSE()</f>
        <v>0</v>
      </c>
      <c r="G36" s="15">
        <v>10</v>
      </c>
      <c r="H36" s="15" t="s">
        <v>22</v>
      </c>
      <c r="I36" s="15" t="s">
        <v>310</v>
      </c>
      <c r="J36" s="15" t="s">
        <v>311</v>
      </c>
      <c r="K36" s="16" t="s">
        <v>22</v>
      </c>
      <c r="L36" s="16">
        <v>11</v>
      </c>
      <c r="M36" s="16" t="s">
        <v>170</v>
      </c>
      <c r="N36" s="13">
        <f t="shared" si="1"/>
        <v>1</v>
      </c>
      <c r="O36" s="25">
        <v>4</v>
      </c>
      <c r="P36" s="25">
        <v>5</v>
      </c>
      <c r="Q36" s="25">
        <v>4</v>
      </c>
      <c r="R36" s="25">
        <v>5</v>
      </c>
      <c r="S36" s="25">
        <v>3</v>
      </c>
      <c r="T36" s="26" t="s">
        <v>438</v>
      </c>
    </row>
    <row r="37" spans="1:20" ht="318.75" customHeight="1" x14ac:dyDescent="0.25">
      <c r="A37" s="13">
        <v>1873</v>
      </c>
      <c r="B37" s="13">
        <v>2</v>
      </c>
      <c r="C37" s="13">
        <v>2</v>
      </c>
      <c r="D37" s="13" t="s">
        <v>20</v>
      </c>
      <c r="E37" s="3" t="s">
        <v>171</v>
      </c>
      <c r="F37" s="14" t="b">
        <f>FALSE()</f>
        <v>0</v>
      </c>
      <c r="G37" s="15">
        <v>15</v>
      </c>
      <c r="H37" s="15" t="s">
        <v>22</v>
      </c>
      <c r="I37" s="15" t="s">
        <v>312</v>
      </c>
      <c r="J37" s="15" t="s">
        <v>313</v>
      </c>
      <c r="K37" s="16" t="s">
        <v>38</v>
      </c>
      <c r="L37" s="16">
        <v>24</v>
      </c>
      <c r="M37" s="16" t="s">
        <v>174</v>
      </c>
      <c r="N37" s="13">
        <f t="shared" si="1"/>
        <v>0</v>
      </c>
      <c r="O37" s="25">
        <v>3</v>
      </c>
      <c r="P37" s="25">
        <v>5</v>
      </c>
      <c r="Q37" s="25">
        <v>4</v>
      </c>
      <c r="R37" s="25">
        <v>5</v>
      </c>
      <c r="S37" s="25">
        <v>3</v>
      </c>
      <c r="T37" s="26" t="s">
        <v>439</v>
      </c>
    </row>
    <row r="38" spans="1:20" ht="318.75" customHeight="1" x14ac:dyDescent="0.25">
      <c r="A38" s="13">
        <v>1873</v>
      </c>
      <c r="B38" s="13">
        <v>2</v>
      </c>
      <c r="C38" s="13">
        <v>3</v>
      </c>
      <c r="D38" s="13" t="s">
        <v>175</v>
      </c>
      <c r="E38" s="3" t="s">
        <v>176</v>
      </c>
      <c r="F38" s="14" t="b">
        <f>FALSE()</f>
        <v>0</v>
      </c>
      <c r="G38" s="15">
        <v>14</v>
      </c>
      <c r="H38" s="15" t="s">
        <v>31</v>
      </c>
      <c r="I38" s="15" t="s">
        <v>314</v>
      </c>
      <c r="J38" s="15" t="s">
        <v>315</v>
      </c>
      <c r="K38" s="16" t="s">
        <v>38</v>
      </c>
      <c r="L38" s="16">
        <v>14</v>
      </c>
      <c r="M38" s="16" t="s">
        <v>179</v>
      </c>
      <c r="N38" s="13">
        <f t="shared" si="1"/>
        <v>0</v>
      </c>
      <c r="O38" s="25">
        <v>4</v>
      </c>
      <c r="P38" s="25">
        <v>5</v>
      </c>
      <c r="Q38" s="25">
        <v>4</v>
      </c>
      <c r="R38" s="25">
        <v>5</v>
      </c>
      <c r="S38" s="25">
        <v>3</v>
      </c>
      <c r="T38" s="26" t="s">
        <v>440</v>
      </c>
    </row>
    <row r="39" spans="1:20" ht="318.75" customHeight="1" x14ac:dyDescent="0.25">
      <c r="A39" s="13">
        <v>1873</v>
      </c>
      <c r="B39" s="13">
        <v>2</v>
      </c>
      <c r="C39" s="13">
        <v>4</v>
      </c>
      <c r="D39" s="13" t="s">
        <v>175</v>
      </c>
      <c r="E39" s="3" t="s">
        <v>180</v>
      </c>
      <c r="F39" s="14" t="b">
        <f>FALSE()</f>
        <v>0</v>
      </c>
      <c r="G39" s="15">
        <v>13</v>
      </c>
      <c r="H39" s="15" t="s">
        <v>31</v>
      </c>
      <c r="I39" s="15" t="s">
        <v>316</v>
      </c>
      <c r="J39" s="15" t="s">
        <v>317</v>
      </c>
      <c r="K39" s="16" t="s">
        <v>38</v>
      </c>
      <c r="L39" s="16">
        <v>14</v>
      </c>
      <c r="M39" s="16" t="s">
        <v>183</v>
      </c>
      <c r="N39" s="13">
        <f t="shared" si="1"/>
        <v>0</v>
      </c>
      <c r="O39" s="25">
        <v>4</v>
      </c>
      <c r="P39" s="25">
        <v>5</v>
      </c>
      <c r="Q39" s="25">
        <v>4</v>
      </c>
      <c r="R39" s="25">
        <v>5</v>
      </c>
      <c r="S39" s="25">
        <v>3</v>
      </c>
      <c r="T39" s="26" t="s">
        <v>441</v>
      </c>
    </row>
    <row r="40" spans="1:20" ht="318.75" customHeight="1" x14ac:dyDescent="0.25">
      <c r="A40" s="13">
        <v>1873</v>
      </c>
      <c r="B40" s="13">
        <v>2</v>
      </c>
      <c r="C40" s="13">
        <v>5</v>
      </c>
      <c r="D40" s="13" t="s">
        <v>175</v>
      </c>
      <c r="E40" s="3" t="s">
        <v>176</v>
      </c>
      <c r="F40" s="14" t="b">
        <f>FALSE()</f>
        <v>0</v>
      </c>
      <c r="G40" s="15">
        <v>10</v>
      </c>
      <c r="H40" s="15" t="s">
        <v>31</v>
      </c>
      <c r="I40" s="15" t="s">
        <v>318</v>
      </c>
      <c r="J40" s="15" t="s">
        <v>319</v>
      </c>
      <c r="K40" s="16" t="s">
        <v>38</v>
      </c>
      <c r="L40" s="16">
        <v>14</v>
      </c>
      <c r="M40" s="16" t="s">
        <v>183</v>
      </c>
      <c r="N40" s="13">
        <f t="shared" si="1"/>
        <v>0</v>
      </c>
      <c r="O40" s="25">
        <v>2</v>
      </c>
      <c r="P40" s="25">
        <v>5</v>
      </c>
      <c r="Q40" s="25">
        <v>4</v>
      </c>
      <c r="R40" s="25">
        <v>5</v>
      </c>
      <c r="S40" s="25">
        <v>3</v>
      </c>
      <c r="T40" s="26" t="s">
        <v>442</v>
      </c>
    </row>
    <row r="41" spans="1:20" ht="318.75" customHeight="1" x14ac:dyDescent="0.25">
      <c r="A41" s="13">
        <v>1873</v>
      </c>
      <c r="B41" s="13">
        <v>2</v>
      </c>
      <c r="C41" s="13">
        <v>6</v>
      </c>
      <c r="D41" s="13" t="s">
        <v>175</v>
      </c>
      <c r="E41" s="3" t="s">
        <v>180</v>
      </c>
      <c r="F41" s="14" t="b">
        <f>FALSE()</f>
        <v>0</v>
      </c>
      <c r="G41" s="15">
        <v>14</v>
      </c>
      <c r="H41" s="15" t="s">
        <v>31</v>
      </c>
      <c r="I41" s="15" t="s">
        <v>320</v>
      </c>
      <c r="J41" s="15" t="s">
        <v>321</v>
      </c>
      <c r="K41" s="16" t="s">
        <v>38</v>
      </c>
      <c r="L41" s="16">
        <v>14</v>
      </c>
      <c r="M41" s="16" t="s">
        <v>183</v>
      </c>
      <c r="N41" s="13">
        <f t="shared" si="1"/>
        <v>0</v>
      </c>
      <c r="O41" s="25">
        <v>4</v>
      </c>
      <c r="P41" s="25">
        <v>5</v>
      </c>
      <c r="Q41" s="25">
        <v>4</v>
      </c>
      <c r="R41" s="25">
        <v>5</v>
      </c>
      <c r="S41" s="25">
        <v>3</v>
      </c>
      <c r="T41" s="26" t="s">
        <v>441</v>
      </c>
    </row>
    <row r="42" spans="1:20" ht="318.75" customHeight="1" x14ac:dyDescent="0.25">
      <c r="A42" s="13">
        <v>1873</v>
      </c>
      <c r="B42" s="13">
        <v>2</v>
      </c>
      <c r="C42" s="13">
        <v>7</v>
      </c>
      <c r="D42" s="13" t="s">
        <v>175</v>
      </c>
      <c r="E42" s="3" t="s">
        <v>176</v>
      </c>
      <c r="F42" s="14" t="b">
        <f>FALSE()</f>
        <v>0</v>
      </c>
      <c r="G42" s="15">
        <v>14</v>
      </c>
      <c r="H42" s="15" t="s">
        <v>31</v>
      </c>
      <c r="I42" s="15" t="s">
        <v>322</v>
      </c>
      <c r="J42" s="15" t="s">
        <v>323</v>
      </c>
      <c r="K42" s="16" t="s">
        <v>38</v>
      </c>
      <c r="L42" s="16">
        <v>14</v>
      </c>
      <c r="M42" s="16" t="s">
        <v>183</v>
      </c>
      <c r="N42" s="13">
        <f t="shared" si="1"/>
        <v>0</v>
      </c>
      <c r="O42" s="25">
        <v>4</v>
      </c>
      <c r="P42" s="25">
        <v>5</v>
      </c>
      <c r="Q42" s="25">
        <v>4</v>
      </c>
      <c r="R42" s="25">
        <v>5</v>
      </c>
      <c r="S42" s="25">
        <v>3</v>
      </c>
      <c r="T42" s="26" t="s">
        <v>441</v>
      </c>
    </row>
    <row r="43" spans="1:20" ht="318.75" customHeight="1" x14ac:dyDescent="0.25">
      <c r="A43" s="13">
        <v>1873</v>
      </c>
      <c r="B43" s="13">
        <v>2</v>
      </c>
      <c r="C43" s="13">
        <v>8</v>
      </c>
      <c r="D43" s="13" t="s">
        <v>54</v>
      </c>
      <c r="E43" s="3" t="s">
        <v>192</v>
      </c>
      <c r="F43" s="14" t="b">
        <f>FALSE()</f>
        <v>0</v>
      </c>
      <c r="G43" s="15">
        <v>10</v>
      </c>
      <c r="H43" s="15" t="s">
        <v>22</v>
      </c>
      <c r="I43" s="15" t="s">
        <v>324</v>
      </c>
      <c r="J43" s="15" t="s">
        <v>325</v>
      </c>
      <c r="K43" s="16" t="s">
        <v>38</v>
      </c>
      <c r="L43" s="16">
        <v>14</v>
      </c>
      <c r="M43" s="16" t="s">
        <v>195</v>
      </c>
      <c r="N43" s="13">
        <f t="shared" si="1"/>
        <v>0</v>
      </c>
      <c r="O43" s="25">
        <v>3</v>
      </c>
      <c r="P43" s="25">
        <v>5</v>
      </c>
      <c r="Q43" s="25">
        <v>4</v>
      </c>
      <c r="R43" s="25">
        <v>5</v>
      </c>
      <c r="S43" s="25">
        <v>3</v>
      </c>
      <c r="T43" s="26" t="s">
        <v>443</v>
      </c>
    </row>
    <row r="44" spans="1:20" ht="242.25" customHeight="1" x14ac:dyDescent="0.25">
      <c r="A44" s="13">
        <v>1873</v>
      </c>
      <c r="B44" s="13">
        <v>3</v>
      </c>
      <c r="C44" s="13">
        <v>1</v>
      </c>
      <c r="D44" s="13" t="s">
        <v>54</v>
      </c>
      <c r="E44" s="3" t="s">
        <v>197</v>
      </c>
      <c r="F44" s="14" t="b">
        <f>FALSE()</f>
        <v>0</v>
      </c>
      <c r="G44" s="15">
        <v>10</v>
      </c>
      <c r="H44" s="15" t="s">
        <v>31</v>
      </c>
      <c r="I44" s="15" t="s">
        <v>326</v>
      </c>
      <c r="J44" s="15" t="s">
        <v>327</v>
      </c>
      <c r="K44" s="16" t="s">
        <v>57</v>
      </c>
      <c r="L44" s="16"/>
      <c r="M44" s="16" t="s">
        <v>118</v>
      </c>
      <c r="N44" s="13">
        <f t="shared" si="1"/>
        <v>0</v>
      </c>
      <c r="O44" s="25">
        <v>5</v>
      </c>
      <c r="P44" s="25">
        <v>5</v>
      </c>
      <c r="Q44" s="25">
        <v>3</v>
      </c>
      <c r="R44" s="25">
        <v>4</v>
      </c>
      <c r="S44" s="25">
        <v>4</v>
      </c>
      <c r="T44" s="26" t="s">
        <v>430</v>
      </c>
    </row>
    <row r="45" spans="1:20" ht="153" customHeight="1" x14ac:dyDescent="0.25">
      <c r="A45" s="13">
        <v>1132</v>
      </c>
      <c r="B45" s="13">
        <v>901</v>
      </c>
      <c r="C45" s="13">
        <v>1</v>
      </c>
      <c r="D45" s="13" t="s">
        <v>29</v>
      </c>
      <c r="E45" s="3" t="s">
        <v>200</v>
      </c>
      <c r="F45" s="14" t="b">
        <f>FALSE()</f>
        <v>0</v>
      </c>
      <c r="G45" s="15">
        <v>7</v>
      </c>
      <c r="H45" s="15" t="s">
        <v>31</v>
      </c>
      <c r="I45" s="15" t="s">
        <v>328</v>
      </c>
      <c r="J45" s="15" t="s">
        <v>329</v>
      </c>
      <c r="K45" s="16" t="s">
        <v>31</v>
      </c>
      <c r="L45" s="16">
        <v>9</v>
      </c>
      <c r="M45" s="16" t="s">
        <v>203</v>
      </c>
      <c r="N45" s="13">
        <f t="shared" si="1"/>
        <v>1</v>
      </c>
      <c r="O45" s="25">
        <v>1</v>
      </c>
      <c r="P45" s="25">
        <v>5</v>
      </c>
      <c r="Q45" s="25">
        <v>4</v>
      </c>
      <c r="R45" s="25">
        <v>5</v>
      </c>
      <c r="S45" s="25">
        <v>3</v>
      </c>
      <c r="T45" s="26" t="s">
        <v>444</v>
      </c>
    </row>
    <row r="46" spans="1:20" ht="153" customHeight="1" x14ac:dyDescent="0.25">
      <c r="A46" s="13">
        <v>1132</v>
      </c>
      <c r="B46" s="13">
        <v>902</v>
      </c>
      <c r="C46" s="13">
        <v>1</v>
      </c>
      <c r="D46" s="13" t="s">
        <v>205</v>
      </c>
      <c r="E46" s="3" t="s">
        <v>206</v>
      </c>
      <c r="F46" s="14" t="b">
        <f>FALSE()</f>
        <v>0</v>
      </c>
      <c r="G46" s="15">
        <v>5</v>
      </c>
      <c r="H46" s="15" t="s">
        <v>22</v>
      </c>
      <c r="I46" s="15" t="s">
        <v>330</v>
      </c>
      <c r="J46" s="15" t="s">
        <v>331</v>
      </c>
      <c r="K46" s="16" t="s">
        <v>22</v>
      </c>
      <c r="L46" s="16">
        <v>4</v>
      </c>
      <c r="M46" s="16" t="s">
        <v>209</v>
      </c>
      <c r="N46" s="13">
        <f t="shared" si="1"/>
        <v>1</v>
      </c>
      <c r="O46" s="25">
        <v>1</v>
      </c>
      <c r="P46" s="25">
        <v>5</v>
      </c>
      <c r="Q46" s="25">
        <v>3</v>
      </c>
      <c r="R46" s="25">
        <v>5</v>
      </c>
      <c r="S46" s="25">
        <v>3</v>
      </c>
      <c r="T46" s="26" t="s">
        <v>445</v>
      </c>
    </row>
    <row r="47" spans="1:20" ht="89.25" customHeight="1" x14ac:dyDescent="0.25">
      <c r="A47" s="13">
        <v>1153</v>
      </c>
      <c r="B47" s="13">
        <v>903</v>
      </c>
      <c r="C47" s="13">
        <v>1</v>
      </c>
      <c r="D47" s="13" t="s">
        <v>29</v>
      </c>
      <c r="E47" s="3" t="s">
        <v>211</v>
      </c>
      <c r="F47" s="14" t="b">
        <f>FALSE()</f>
        <v>0</v>
      </c>
      <c r="G47" s="15">
        <v>3</v>
      </c>
      <c r="H47" s="15" t="s">
        <v>31</v>
      </c>
      <c r="I47" s="15" t="s">
        <v>332</v>
      </c>
      <c r="J47" s="15" t="s">
        <v>333</v>
      </c>
      <c r="K47" s="16" t="s">
        <v>31</v>
      </c>
      <c r="L47" s="16">
        <v>2</v>
      </c>
      <c r="M47" s="16" t="s">
        <v>214</v>
      </c>
      <c r="N47" s="13">
        <f t="shared" si="1"/>
        <v>1</v>
      </c>
      <c r="O47" s="25">
        <v>2</v>
      </c>
      <c r="P47" s="25">
        <v>5</v>
      </c>
      <c r="Q47" s="25">
        <v>5</v>
      </c>
      <c r="R47" s="25">
        <v>5</v>
      </c>
      <c r="S47" s="25">
        <v>3</v>
      </c>
      <c r="T47" s="26" t="s">
        <v>446</v>
      </c>
    </row>
    <row r="48" spans="1:20" ht="89.25" customHeight="1" x14ac:dyDescent="0.25">
      <c r="A48" s="13">
        <v>1153</v>
      </c>
      <c r="B48" s="13">
        <v>904</v>
      </c>
      <c r="C48" s="13">
        <v>1</v>
      </c>
      <c r="D48" s="13" t="s">
        <v>29</v>
      </c>
      <c r="E48" s="3" t="s">
        <v>216</v>
      </c>
      <c r="F48" s="14" t="b">
        <f>FALSE()</f>
        <v>0</v>
      </c>
      <c r="G48" s="15">
        <v>3</v>
      </c>
      <c r="H48" s="15" t="s">
        <v>31</v>
      </c>
      <c r="I48" s="15" t="s">
        <v>334</v>
      </c>
      <c r="J48" s="15" t="s">
        <v>335</v>
      </c>
      <c r="K48" s="16" t="s">
        <v>31</v>
      </c>
      <c r="L48" s="16">
        <v>4</v>
      </c>
      <c r="M48" s="16" t="s">
        <v>219</v>
      </c>
      <c r="N48" s="13">
        <f t="shared" si="1"/>
        <v>1</v>
      </c>
      <c r="O48" s="25">
        <v>4</v>
      </c>
      <c r="P48" s="25">
        <v>5</v>
      </c>
      <c r="Q48" s="25">
        <v>5</v>
      </c>
      <c r="R48" s="25">
        <v>5</v>
      </c>
      <c r="S48" s="25">
        <v>4</v>
      </c>
      <c r="T48" s="26" t="s">
        <v>447</v>
      </c>
    </row>
    <row r="49" spans="1:20" ht="255" customHeight="1" x14ac:dyDescent="0.25">
      <c r="A49" s="13">
        <v>1828</v>
      </c>
      <c r="B49" s="13">
        <v>905</v>
      </c>
      <c r="C49" s="13">
        <v>1</v>
      </c>
      <c r="D49" s="13" t="s">
        <v>221</v>
      </c>
      <c r="E49" s="3" t="s">
        <v>222</v>
      </c>
      <c r="F49" s="14" t="b">
        <f>FALSE()</f>
        <v>0</v>
      </c>
      <c r="G49" s="15">
        <v>10</v>
      </c>
      <c r="H49" s="15" t="s">
        <v>31</v>
      </c>
      <c r="I49" s="15" t="s">
        <v>336</v>
      </c>
      <c r="J49" s="15" t="s">
        <v>337</v>
      </c>
      <c r="K49" s="16" t="s">
        <v>31</v>
      </c>
      <c r="L49" s="16">
        <v>7</v>
      </c>
      <c r="M49" s="16" t="s">
        <v>225</v>
      </c>
      <c r="N49" s="13">
        <f t="shared" si="1"/>
        <v>1</v>
      </c>
      <c r="O49" s="25">
        <v>4</v>
      </c>
      <c r="P49" s="25">
        <v>5</v>
      </c>
      <c r="Q49" s="25">
        <v>4</v>
      </c>
      <c r="R49" s="25">
        <v>5</v>
      </c>
      <c r="S49" s="25">
        <v>3</v>
      </c>
      <c r="T49" s="26" t="s">
        <v>437</v>
      </c>
    </row>
    <row r="50" spans="1:20" ht="242.25" customHeight="1" x14ac:dyDescent="0.25">
      <c r="A50" s="13">
        <v>1828</v>
      </c>
      <c r="B50" s="13">
        <v>906</v>
      </c>
      <c r="C50" s="13">
        <v>1</v>
      </c>
      <c r="D50" s="13" t="s">
        <v>20</v>
      </c>
      <c r="E50" s="3" t="s">
        <v>227</v>
      </c>
      <c r="F50" s="14" t="b">
        <f>FALSE()</f>
        <v>0</v>
      </c>
      <c r="G50" s="15">
        <v>4</v>
      </c>
      <c r="H50" s="15" t="s">
        <v>22</v>
      </c>
      <c r="I50" s="15" t="s">
        <v>338</v>
      </c>
      <c r="J50" s="15" t="s">
        <v>339</v>
      </c>
      <c r="K50" s="16" t="s">
        <v>38</v>
      </c>
      <c r="L50" s="16">
        <v>6</v>
      </c>
      <c r="M50" s="16" t="s">
        <v>230</v>
      </c>
      <c r="N50" s="13">
        <f t="shared" si="1"/>
        <v>0</v>
      </c>
      <c r="O50" s="25">
        <v>3</v>
      </c>
      <c r="P50" s="25">
        <v>5</v>
      </c>
      <c r="Q50" s="25">
        <v>4</v>
      </c>
      <c r="R50" s="25">
        <v>5</v>
      </c>
      <c r="S50" s="25">
        <v>3</v>
      </c>
      <c r="T50" s="26" t="s">
        <v>448</v>
      </c>
    </row>
    <row r="51" spans="1:20" ht="255" customHeight="1" x14ac:dyDescent="0.25">
      <c r="A51" s="13">
        <v>1873</v>
      </c>
      <c r="B51" s="13">
        <v>907</v>
      </c>
      <c r="C51" s="13">
        <v>1</v>
      </c>
      <c r="D51" s="13" t="s">
        <v>232</v>
      </c>
      <c r="E51" s="3" t="s">
        <v>233</v>
      </c>
      <c r="F51" s="14" t="b">
        <f>FALSE()</f>
        <v>0</v>
      </c>
      <c r="G51" s="15">
        <v>10</v>
      </c>
      <c r="H51" s="15" t="s">
        <v>31</v>
      </c>
      <c r="I51" s="15" t="s">
        <v>340</v>
      </c>
      <c r="J51" s="15" t="s">
        <v>341</v>
      </c>
      <c r="K51" s="16" t="s">
        <v>31</v>
      </c>
      <c r="L51" s="16">
        <v>19</v>
      </c>
      <c r="M51" s="16" t="s">
        <v>236</v>
      </c>
      <c r="N51" s="13">
        <f t="shared" si="1"/>
        <v>1</v>
      </c>
      <c r="O51" s="25">
        <v>4</v>
      </c>
      <c r="P51" s="25">
        <v>5</v>
      </c>
      <c r="Q51" s="25">
        <v>4</v>
      </c>
      <c r="R51" s="25">
        <v>5</v>
      </c>
      <c r="S51" s="25">
        <v>3</v>
      </c>
      <c r="T51" s="26" t="s">
        <v>437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9"/>
  <sheetViews>
    <sheetView zoomScaleNormal="100" workbookViewId="0"/>
  </sheetViews>
  <sheetFormatPr defaultColWidth="8.7109375" defaultRowHeight="15" x14ac:dyDescent="0.25"/>
  <cols>
    <col min="1" max="1" width="38" style="1" customWidth="1"/>
    <col min="2" max="2" width="18" style="1" customWidth="1"/>
    <col min="3" max="3" width="26" style="1" customWidth="1"/>
    <col min="4" max="4" width="14" style="1" customWidth="1"/>
  </cols>
  <sheetData>
    <row r="1" spans="1:4" ht="30" customHeight="1" x14ac:dyDescent="0.25">
      <c r="A1" s="2" t="s">
        <v>373</v>
      </c>
      <c r="B1" s="2" t="s">
        <v>374</v>
      </c>
      <c r="C1" s="2" t="s">
        <v>375</v>
      </c>
      <c r="D1" s="2" t="s">
        <v>376</v>
      </c>
    </row>
    <row r="2" spans="1:4" ht="15" customHeight="1" x14ac:dyDescent="0.25">
      <c r="A2" s="20" t="s">
        <v>377</v>
      </c>
      <c r="B2" s="21">
        <f>COUNT(Avaliacao!N2:N51)</f>
        <v>50</v>
      </c>
      <c r="C2" s="21">
        <f>COUNT(Avaliacao_Local!N2:N51)</f>
        <v>50</v>
      </c>
    </row>
    <row r="3" spans="1:4" ht="15" customHeight="1" x14ac:dyDescent="0.25">
      <c r="A3" s="20" t="s">
        <v>352</v>
      </c>
      <c r="B3" s="21">
        <f>IFERROR(AVERAGE(Avaliacao!N2:N51),"")</f>
        <v>0.96</v>
      </c>
      <c r="C3" s="21">
        <f>IFERROR(AVERAGE(Avaliacao_Local!N2:N51),"")</f>
        <v>0.48</v>
      </c>
      <c r="D3" s="21">
        <f t="shared" ref="D3:D8" si="0">IFERROR(C3-B3,"")</f>
        <v>-0.48</v>
      </c>
    </row>
    <row r="4" spans="1:4" ht="15" customHeight="1" x14ac:dyDescent="0.25">
      <c r="A4" s="20" t="s">
        <v>345</v>
      </c>
      <c r="B4" s="21">
        <f>IFERROR(AVERAGE(Avaliacao!O2:O51),"")</f>
        <v>4.5999999999999996</v>
      </c>
      <c r="C4" s="21">
        <f>IFERROR(AVERAGE(Avaliacao_Local!O2:O51),"")</f>
        <v>3.76</v>
      </c>
      <c r="D4" s="21">
        <f t="shared" si="0"/>
        <v>-0.83999999999999986</v>
      </c>
    </row>
    <row r="5" spans="1:4" ht="15" customHeight="1" x14ac:dyDescent="0.25">
      <c r="A5" s="20" t="s">
        <v>346</v>
      </c>
      <c r="B5" s="21">
        <f>IFERROR(AVERAGE(Avaliacao!P2:P51),"")</f>
        <v>5</v>
      </c>
      <c r="C5" s="21">
        <f>IFERROR(AVERAGE(Avaliacao_Local!P2:P51),"")</f>
        <v>4.9800000000000004</v>
      </c>
      <c r="D5" s="21">
        <f t="shared" si="0"/>
        <v>-1.9999999999999574E-2</v>
      </c>
    </row>
    <row r="6" spans="1:4" ht="15" customHeight="1" x14ac:dyDescent="0.25">
      <c r="A6" s="20" t="s">
        <v>347</v>
      </c>
      <c r="B6" s="21">
        <f>IFERROR(AVERAGE(Avaliacao!Q2:Q51),"")</f>
        <v>4.62</v>
      </c>
      <c r="C6" s="21">
        <f>IFERROR(AVERAGE(Avaliacao_Local!Q2:Q51),"")</f>
        <v>3.86</v>
      </c>
      <c r="D6" s="21">
        <f t="shared" si="0"/>
        <v>-0.76000000000000023</v>
      </c>
    </row>
    <row r="7" spans="1:4" ht="15" customHeight="1" x14ac:dyDescent="0.25">
      <c r="A7" s="20" t="s">
        <v>348</v>
      </c>
      <c r="B7" s="21">
        <f>IFERROR(AVERAGE(Avaliacao!R2:R51),"")</f>
        <v>4.96</v>
      </c>
      <c r="C7" s="21">
        <f>IFERROR(AVERAGE(Avaliacao_Local!R2:R51),"")</f>
        <v>4.74</v>
      </c>
      <c r="D7" s="21">
        <f t="shared" si="0"/>
        <v>-0.21999999999999975</v>
      </c>
    </row>
    <row r="8" spans="1:4" ht="15" customHeight="1" x14ac:dyDescent="0.25">
      <c r="A8" s="20" t="s">
        <v>349</v>
      </c>
      <c r="B8" s="21">
        <f>IFERROR(AVERAGE(Avaliacao!S2:S51),"")</f>
        <v>3.74</v>
      </c>
      <c r="C8" s="21">
        <f>IFERROR(AVERAGE(Avaliacao_Local!S2:S51),"")</f>
        <v>3.24</v>
      </c>
      <c r="D8" s="21">
        <f t="shared" si="0"/>
        <v>-0.5</v>
      </c>
    </row>
    <row r="10" spans="1:4" ht="15" customHeight="1" x14ac:dyDescent="0.25">
      <c r="A10" s="20" t="s">
        <v>378</v>
      </c>
    </row>
    <row r="11" spans="1:4" ht="15" customHeight="1" x14ac:dyDescent="0.25">
      <c r="A11" s="21" t="s">
        <v>379</v>
      </c>
      <c r="B11" s="21">
        <f>SUMPRODUCT((Avaliacao!H2:H51&lt;&gt;"")*(Avaliacao_Local!H2:H51&lt;&gt;"")*(Avaliacao!H2:H51=Avaliacao_Local!H2:H51))</f>
        <v>26</v>
      </c>
    </row>
    <row r="12" spans="1:4" ht="15" customHeight="1" x14ac:dyDescent="0.25">
      <c r="A12" s="21" t="s">
        <v>380</v>
      </c>
      <c r="B12" s="21">
        <f>IFERROR(B11/SUMPRODUCT((Avaliacao!H2:H51&lt;&gt;"")*(Avaliacao_Local!H2:H51&lt;&gt;"")),"")</f>
        <v>0.52</v>
      </c>
    </row>
    <row r="14" spans="1:4" ht="15" customHeight="1" x14ac:dyDescent="0.25">
      <c r="A14" s="20" t="s">
        <v>381</v>
      </c>
    </row>
    <row r="15" spans="1:4" ht="15" customHeight="1" x14ac:dyDescent="0.25">
      <c r="A15" s="20" t="s">
        <v>351</v>
      </c>
      <c r="B15" s="20" t="s">
        <v>374</v>
      </c>
      <c r="C15" s="20" t="s">
        <v>375</v>
      </c>
    </row>
    <row r="16" spans="1:4" ht="15" customHeight="1" x14ac:dyDescent="0.25">
      <c r="A16" s="21">
        <v>1132</v>
      </c>
      <c r="B16" s="21">
        <f>IFERROR(AVERAGEIF(Avaliacao!A2:A51,1132,Avaliacao!N2:N51),"")</f>
        <v>0.875</v>
      </c>
      <c r="C16" s="21">
        <f>IFERROR(AVERAGEIF(Avaliacao_Local!A2:A51,1132,Avaliacao_Local!N2:N51),"")</f>
        <v>0.5</v>
      </c>
    </row>
    <row r="17" spans="1:3" ht="15" customHeight="1" x14ac:dyDescent="0.25">
      <c r="A17" s="21">
        <v>1153</v>
      </c>
      <c r="B17" s="21">
        <f>IFERROR(AVERAGEIF(Avaliacao!A2:A51,1153,Avaliacao!N2:N51),"")</f>
        <v>1</v>
      </c>
      <c r="C17" s="21">
        <f>IFERROR(AVERAGEIF(Avaliacao_Local!A2:A51,1153,Avaliacao_Local!N2:N51),"")</f>
        <v>0.8571428571428571</v>
      </c>
    </row>
    <row r="18" spans="1:3" ht="15" customHeight="1" x14ac:dyDescent="0.25">
      <c r="A18" s="21">
        <v>1828</v>
      </c>
      <c r="B18" s="21">
        <f>IFERROR(AVERAGEIF(Avaliacao!A2:A51,1828,Avaliacao!N2:N51),"")</f>
        <v>1</v>
      </c>
      <c r="C18" s="21">
        <f>IFERROR(AVERAGEIF(Avaliacao_Local!A2:A51,1828,Avaliacao_Local!N2:N51),"")</f>
        <v>0.44444444444444442</v>
      </c>
    </row>
    <row r="19" spans="1:3" ht="15" customHeight="1" x14ac:dyDescent="0.25">
      <c r="A19" s="21">
        <v>1873</v>
      </c>
      <c r="B19" s="21">
        <f>IFERROR(AVERAGEIF(Avaliacao!A2:A51,1873,Avaliacao!N2:N51),"")</f>
        <v>1</v>
      </c>
      <c r="C19" s="21">
        <f>IFERROR(AVERAGEIF(Avaliacao_Local!A2:A51,1873,Avaliacao_Local!N2:N51),"")</f>
        <v>0.33333333333333331</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7"/>
  <sheetViews>
    <sheetView zoomScaleNormal="100" workbookViewId="0">
      <selection activeCell="B3" sqref="B3"/>
    </sheetView>
  </sheetViews>
  <sheetFormatPr defaultColWidth="8.7109375" defaultRowHeight="15" x14ac:dyDescent="0.25"/>
  <cols>
    <col min="1" max="1" width="32" style="1" customWidth="1"/>
    <col min="2" max="2" width="16" style="1" customWidth="1"/>
  </cols>
  <sheetData>
    <row r="1" spans="1:3" ht="15" customHeight="1" x14ac:dyDescent="0.25">
      <c r="A1" s="18" t="s">
        <v>342</v>
      </c>
      <c r="B1" s="19">
        <f>COUNTA(Avaliacao!A2:A51)</f>
        <v>50</v>
      </c>
    </row>
    <row r="2" spans="1:3" ht="15" customHeight="1" x14ac:dyDescent="0.25">
      <c r="A2" s="20" t="s">
        <v>343</v>
      </c>
      <c r="B2" s="21">
        <f>COUNT(Avaliacao!N2:N51)</f>
        <v>50</v>
      </c>
    </row>
    <row r="3" spans="1:3" ht="15" customHeight="1" x14ac:dyDescent="0.25">
      <c r="A3" s="20" t="s">
        <v>344</v>
      </c>
      <c r="B3" s="21">
        <f>IFERROR(AVERAGE(Avaliacao!N2:N51),"")</f>
        <v>0.96</v>
      </c>
    </row>
    <row r="4" spans="1:3" ht="15" customHeight="1" x14ac:dyDescent="0.25">
      <c r="A4" s="21"/>
      <c r="B4" s="21"/>
    </row>
    <row r="5" spans="1:3" ht="15" customHeight="1" x14ac:dyDescent="0.25">
      <c r="A5" s="20" t="s">
        <v>345</v>
      </c>
      <c r="B5" s="21">
        <f>IFERROR(AVERAGE(Avaliacao!O2:O51),"")</f>
        <v>4.5999999999999996</v>
      </c>
    </row>
    <row r="6" spans="1:3" ht="15" customHeight="1" x14ac:dyDescent="0.25">
      <c r="A6" s="20" t="s">
        <v>346</v>
      </c>
      <c r="B6" s="21">
        <f>IFERROR(AVERAGE(Avaliacao!P2:P51),"")</f>
        <v>5</v>
      </c>
    </row>
    <row r="7" spans="1:3" ht="15" customHeight="1" x14ac:dyDescent="0.25">
      <c r="A7" s="20" t="s">
        <v>347</v>
      </c>
      <c r="B7" s="21">
        <f>IFERROR(AVERAGE(Avaliacao!Q2:Q51),"")</f>
        <v>4.62</v>
      </c>
    </row>
    <row r="8" spans="1:3" ht="15" customHeight="1" x14ac:dyDescent="0.25">
      <c r="A8" s="20" t="s">
        <v>348</v>
      </c>
      <c r="B8" s="21">
        <f>IFERROR(AVERAGE(Avaliacao!R2:R51),"")</f>
        <v>4.96</v>
      </c>
    </row>
    <row r="9" spans="1:3" ht="15" customHeight="1" x14ac:dyDescent="0.25">
      <c r="A9" s="20" t="s">
        <v>349</v>
      </c>
      <c r="B9" s="21">
        <f>IFERROR(AVERAGE(Avaliacao!S2:S51),"")</f>
        <v>3.74</v>
      </c>
    </row>
    <row r="10" spans="1:3" ht="15" customHeight="1" x14ac:dyDescent="0.25">
      <c r="A10" s="21"/>
      <c r="B10" s="21"/>
    </row>
    <row r="11" spans="1:3" ht="15" customHeight="1" x14ac:dyDescent="0.25">
      <c r="A11" s="20" t="s">
        <v>350</v>
      </c>
      <c r="B11" s="21"/>
    </row>
    <row r="13" spans="1:3" ht="15" customHeight="1" x14ac:dyDescent="0.25">
      <c r="A13" s="20" t="s">
        <v>351</v>
      </c>
      <c r="B13" s="20" t="s">
        <v>352</v>
      </c>
      <c r="C13" s="20" t="s">
        <v>353</v>
      </c>
    </row>
    <row r="14" spans="1:3" ht="15" customHeight="1" x14ac:dyDescent="0.25">
      <c r="A14" s="1">
        <v>1132</v>
      </c>
      <c r="B14" s="1">
        <f>IFERROR(AVERAGEIF(Avaliacao!A2:A51,1132,Avaliacao!N2:N51),"")</f>
        <v>0.875</v>
      </c>
      <c r="C14" s="1">
        <f>IFERROR(AVERAGEIF(Avaliacao!A2:A51,1132,Avaliacao!Q2:Q51),"")</f>
        <v>4.5625</v>
      </c>
    </row>
    <row r="15" spans="1:3" ht="15" customHeight="1" x14ac:dyDescent="0.25">
      <c r="A15" s="1">
        <v>1153</v>
      </c>
      <c r="B15" s="1">
        <f>IFERROR(AVERAGEIF(Avaliacao!A2:A51,1153,Avaliacao!N2:N51),"")</f>
        <v>1</v>
      </c>
      <c r="C15" s="1">
        <f>IFERROR(AVERAGEIF(Avaliacao!A2:A51,1153,Avaliacao!Q2:Q51),"")</f>
        <v>4.5714285714285712</v>
      </c>
    </row>
    <row r="16" spans="1:3" ht="15" customHeight="1" x14ac:dyDescent="0.25">
      <c r="A16" s="1">
        <v>1828</v>
      </c>
      <c r="B16" s="1">
        <f>IFERROR(AVERAGEIF(Avaliacao!A2:A51,1828,Avaliacao!N2:N51),"")</f>
        <v>1</v>
      </c>
      <c r="C16" s="1">
        <f>IFERROR(AVERAGEIF(Avaliacao!A2:A51,1828,Avaliacao!Q2:Q51),"")</f>
        <v>4.333333333333333</v>
      </c>
    </row>
    <row r="17" spans="1:3" ht="15" customHeight="1" x14ac:dyDescent="0.25">
      <c r="A17" s="1">
        <v>1873</v>
      </c>
      <c r="B17" s="1">
        <f>IFERROR(AVERAGEIF(Avaliacao!A2:A51,1873,Avaliacao!N2:N51),"")</f>
        <v>1</v>
      </c>
      <c r="C17" s="1">
        <f>IFERROR(AVERAGEIF(Avaliacao!A2:A51,1873,Avaliacao!Q2:Q51),"")</f>
        <v>4.833333333333333</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51"/>
  <sheetViews>
    <sheetView zoomScaleNormal="100" workbookViewId="0">
      <pane xSplit="5" ySplit="1" topLeftCell="F8" activePane="bottomRight" state="frozen"/>
      <selection pane="topRight" activeCell="F1" sqref="F1"/>
      <selection pane="bottomLeft" activeCell="A2" sqref="A2"/>
      <selection pane="bottomRight"/>
    </sheetView>
  </sheetViews>
  <sheetFormatPr defaultColWidth="8.7109375" defaultRowHeight="15" x14ac:dyDescent="0.25"/>
  <cols>
    <col min="1" max="1" width="10" style="1" customWidth="1"/>
    <col min="2" max="3" width="8" style="1" customWidth="1"/>
    <col min="4" max="4" width="20" style="1" customWidth="1"/>
    <col min="5" max="5" width="55" style="1" customWidth="1"/>
    <col min="6" max="8" width="14" style="1" customWidth="1"/>
    <col min="9" max="10" width="40" style="1" customWidth="1"/>
    <col min="11" max="12" width="14" style="1" customWidth="1"/>
    <col min="13" max="13" width="35" style="1" customWidth="1"/>
    <col min="14" max="17" width="16" style="1" customWidth="1"/>
    <col min="18" max="18" width="12" style="1" customWidth="1"/>
    <col min="19" max="19" width="16" style="1" customWidth="1"/>
    <col min="20" max="20" width="35" style="1" customWidth="1"/>
  </cols>
  <sheetData>
    <row r="1" spans="1:20" ht="30" customHeight="1" x14ac:dyDescent="0.25">
      <c r="A1" s="2" t="s">
        <v>0</v>
      </c>
      <c r="B1" s="2" t="s">
        <v>1</v>
      </c>
      <c r="C1" s="2" t="s">
        <v>2</v>
      </c>
      <c r="D1" s="2" t="s">
        <v>3</v>
      </c>
      <c r="E1" s="2" t="s">
        <v>4</v>
      </c>
      <c r="F1" s="2" t="s">
        <v>382</v>
      </c>
      <c r="G1" s="2" t="s">
        <v>383</v>
      </c>
      <c r="H1" s="2" t="s">
        <v>384</v>
      </c>
      <c r="I1" s="2" t="s">
        <v>385</v>
      </c>
      <c r="J1" s="2" t="s">
        <v>386</v>
      </c>
      <c r="K1" s="2" t="s">
        <v>10</v>
      </c>
      <c r="L1" s="2" t="s">
        <v>11</v>
      </c>
      <c r="M1" s="2" t="s">
        <v>12</v>
      </c>
      <c r="N1" s="2" t="s">
        <v>13</v>
      </c>
      <c r="O1" s="2" t="s">
        <v>14</v>
      </c>
      <c r="P1" s="2" t="s">
        <v>15</v>
      </c>
      <c r="Q1" s="2" t="s">
        <v>16</v>
      </c>
      <c r="R1" s="2" t="s">
        <v>17</v>
      </c>
      <c r="S1" s="2" t="s">
        <v>18</v>
      </c>
      <c r="T1" s="2" t="s">
        <v>19</v>
      </c>
    </row>
    <row r="2" spans="1:20" ht="102" customHeight="1" x14ac:dyDescent="0.25">
      <c r="A2" s="13">
        <v>1132</v>
      </c>
      <c r="B2" s="13">
        <v>1</v>
      </c>
      <c r="C2" s="13">
        <v>1</v>
      </c>
      <c r="D2" s="13" t="s">
        <v>20</v>
      </c>
      <c r="E2" s="3" t="s">
        <v>21</v>
      </c>
      <c r="F2" s="15"/>
      <c r="G2" s="15"/>
      <c r="H2" s="15"/>
      <c r="I2" s="15"/>
      <c r="J2" s="15"/>
      <c r="K2" s="16" t="s">
        <v>22</v>
      </c>
      <c r="L2" s="16">
        <v>6</v>
      </c>
      <c r="M2" s="16" t="s">
        <v>25</v>
      </c>
      <c r="N2" s="13" t="str">
        <f t="shared" ref="N2:N33" si="0">IF(AND(H2&lt;&gt;"",K2&lt;&gt;""),IF(H2=K2,1,0),"")</f>
        <v/>
      </c>
      <c r="O2" s="17"/>
      <c r="P2" s="17"/>
      <c r="Q2" s="17"/>
      <c r="R2" s="17"/>
      <c r="S2" s="17"/>
      <c r="T2" s="13"/>
    </row>
    <row r="3" spans="1:20" ht="102" customHeight="1" x14ac:dyDescent="0.25">
      <c r="A3" s="13">
        <v>1132</v>
      </c>
      <c r="B3" s="13">
        <v>1</v>
      </c>
      <c r="C3" s="13">
        <v>2</v>
      </c>
      <c r="D3" s="13" t="s">
        <v>20</v>
      </c>
      <c r="E3" s="3" t="s">
        <v>26</v>
      </c>
      <c r="F3" s="15"/>
      <c r="G3" s="15"/>
      <c r="H3" s="15"/>
      <c r="I3" s="15"/>
      <c r="J3" s="15"/>
      <c r="K3" s="16" t="s">
        <v>22</v>
      </c>
      <c r="L3" s="16">
        <v>6</v>
      </c>
      <c r="M3" s="16" t="s">
        <v>25</v>
      </c>
      <c r="N3" s="13" t="str">
        <f t="shared" si="0"/>
        <v/>
      </c>
      <c r="O3" s="17"/>
      <c r="P3" s="17"/>
      <c r="Q3" s="17"/>
      <c r="R3" s="17"/>
      <c r="S3" s="17"/>
      <c r="T3" s="13"/>
    </row>
    <row r="4" spans="1:20" ht="113.25" customHeight="1" x14ac:dyDescent="0.25">
      <c r="A4" s="13">
        <v>1132</v>
      </c>
      <c r="B4" s="13">
        <v>1</v>
      </c>
      <c r="C4" s="13">
        <v>3</v>
      </c>
      <c r="D4" s="13" t="s">
        <v>29</v>
      </c>
      <c r="E4" s="3" t="s">
        <v>30</v>
      </c>
      <c r="F4" s="14" t="b">
        <f>FALSE()</f>
        <v>0</v>
      </c>
      <c r="G4" s="15">
        <v>5</v>
      </c>
      <c r="H4" s="15" t="s">
        <v>22</v>
      </c>
      <c r="I4" s="15" t="s">
        <v>387</v>
      </c>
      <c r="J4" s="15" t="s">
        <v>388</v>
      </c>
      <c r="K4" s="16" t="s">
        <v>31</v>
      </c>
      <c r="L4" s="16">
        <v>7</v>
      </c>
      <c r="M4" s="16" t="s">
        <v>34</v>
      </c>
      <c r="N4" s="13">
        <f t="shared" si="0"/>
        <v>0</v>
      </c>
      <c r="O4" s="17"/>
      <c r="P4" s="17"/>
      <c r="Q4" s="17"/>
      <c r="R4" s="17"/>
      <c r="S4" s="17"/>
      <c r="T4" s="13"/>
    </row>
    <row r="5" spans="1:20" ht="102" customHeight="1" x14ac:dyDescent="0.25">
      <c r="A5" s="13">
        <v>1132</v>
      </c>
      <c r="B5" s="13">
        <v>1</v>
      </c>
      <c r="C5" s="13">
        <v>4</v>
      </c>
      <c r="D5" s="13" t="s">
        <v>20</v>
      </c>
      <c r="E5" s="3" t="s">
        <v>35</v>
      </c>
      <c r="F5" s="14" t="b">
        <f>FALSE()</f>
        <v>0</v>
      </c>
      <c r="G5" s="15">
        <v>5</v>
      </c>
      <c r="H5" s="15" t="s">
        <v>22</v>
      </c>
      <c r="I5" s="15" t="s">
        <v>387</v>
      </c>
      <c r="J5" s="15" t="s">
        <v>388</v>
      </c>
      <c r="K5" s="16" t="s">
        <v>38</v>
      </c>
      <c r="L5" s="16">
        <v>3</v>
      </c>
      <c r="M5" s="16" t="s">
        <v>39</v>
      </c>
      <c r="N5" s="13">
        <f t="shared" si="0"/>
        <v>0</v>
      </c>
      <c r="O5" s="17"/>
      <c r="P5" s="17"/>
      <c r="Q5" s="17"/>
      <c r="R5" s="17"/>
      <c r="S5" s="17"/>
      <c r="T5" s="13"/>
    </row>
    <row r="6" spans="1:20" ht="102" customHeight="1" x14ac:dyDescent="0.25">
      <c r="A6" s="13">
        <v>1132</v>
      </c>
      <c r="B6" s="13">
        <v>1</v>
      </c>
      <c r="C6" s="13">
        <v>5</v>
      </c>
      <c r="D6" s="13" t="s">
        <v>20</v>
      </c>
      <c r="E6" s="3" t="s">
        <v>41</v>
      </c>
      <c r="F6" s="15"/>
      <c r="G6" s="15"/>
      <c r="H6" s="15"/>
      <c r="I6" s="15"/>
      <c r="J6" s="15"/>
      <c r="K6" s="16" t="s">
        <v>38</v>
      </c>
      <c r="L6" s="16">
        <v>3</v>
      </c>
      <c r="M6" s="16" t="s">
        <v>39</v>
      </c>
      <c r="N6" s="13" t="str">
        <f t="shared" si="0"/>
        <v/>
      </c>
      <c r="O6" s="17"/>
      <c r="P6" s="17"/>
      <c r="Q6" s="17"/>
      <c r="R6" s="17"/>
      <c r="S6" s="17"/>
      <c r="T6" s="13"/>
    </row>
    <row r="7" spans="1:20" ht="102" customHeight="1" x14ac:dyDescent="0.25">
      <c r="A7" s="13">
        <v>1132</v>
      </c>
      <c r="B7" s="13">
        <v>1</v>
      </c>
      <c r="C7" s="13">
        <v>6</v>
      </c>
      <c r="D7" s="13" t="s">
        <v>20</v>
      </c>
      <c r="E7" s="3" t="s">
        <v>45</v>
      </c>
      <c r="F7" s="15"/>
      <c r="G7" s="15"/>
      <c r="H7" s="15"/>
      <c r="I7" s="15"/>
      <c r="J7" s="15"/>
      <c r="K7" s="16" t="s">
        <v>38</v>
      </c>
      <c r="L7" s="16">
        <v>3</v>
      </c>
      <c r="M7" s="16" t="s">
        <v>48</v>
      </c>
      <c r="N7" s="13" t="str">
        <f t="shared" si="0"/>
        <v/>
      </c>
      <c r="O7" s="17"/>
      <c r="P7" s="17"/>
      <c r="Q7" s="17"/>
      <c r="R7" s="17"/>
      <c r="S7" s="17"/>
      <c r="T7" s="13"/>
    </row>
    <row r="8" spans="1:20" ht="113.25" customHeight="1" x14ac:dyDescent="0.25">
      <c r="A8" s="13">
        <v>1132</v>
      </c>
      <c r="B8" s="13">
        <v>1</v>
      </c>
      <c r="C8" s="13">
        <v>7</v>
      </c>
      <c r="D8" s="13" t="s">
        <v>29</v>
      </c>
      <c r="E8" s="3" t="s">
        <v>50</v>
      </c>
      <c r="F8" s="15"/>
      <c r="G8" s="15"/>
      <c r="H8" s="15"/>
      <c r="I8" s="15"/>
      <c r="J8" s="15"/>
      <c r="K8" s="16" t="s">
        <v>31</v>
      </c>
      <c r="L8" s="16">
        <v>7</v>
      </c>
      <c r="M8" s="16" t="s">
        <v>53</v>
      </c>
      <c r="N8" s="13" t="str">
        <f t="shared" si="0"/>
        <v/>
      </c>
      <c r="O8" s="17"/>
      <c r="P8" s="17"/>
      <c r="Q8" s="17"/>
      <c r="R8" s="17"/>
      <c r="S8" s="17"/>
      <c r="T8" s="13"/>
    </row>
    <row r="9" spans="1:20" ht="147" customHeight="1" x14ac:dyDescent="0.25">
      <c r="A9" s="13">
        <v>1132</v>
      </c>
      <c r="B9" s="13">
        <v>1</v>
      </c>
      <c r="C9" s="13">
        <v>8</v>
      </c>
      <c r="D9" s="13" t="s">
        <v>54</v>
      </c>
      <c r="E9" s="3" t="s">
        <v>55</v>
      </c>
      <c r="F9" s="14" t="b">
        <f>FALSE()</f>
        <v>0</v>
      </c>
      <c r="G9" s="15">
        <v>5</v>
      </c>
      <c r="H9" s="15" t="s">
        <v>22</v>
      </c>
      <c r="I9" s="15" t="s">
        <v>387</v>
      </c>
      <c r="J9" s="15" t="s">
        <v>388</v>
      </c>
      <c r="K9" s="16" t="s">
        <v>57</v>
      </c>
      <c r="L9" s="16"/>
      <c r="M9" s="16" t="s">
        <v>60</v>
      </c>
      <c r="N9" s="13">
        <f t="shared" si="0"/>
        <v>0</v>
      </c>
      <c r="O9" s="17"/>
      <c r="P9" s="17"/>
      <c r="Q9" s="17"/>
      <c r="R9" s="17"/>
      <c r="S9" s="17"/>
      <c r="T9" s="13"/>
    </row>
    <row r="10" spans="1:20" ht="147" customHeight="1" x14ac:dyDescent="0.25">
      <c r="A10" s="13">
        <v>1132</v>
      </c>
      <c r="B10" s="13">
        <v>2</v>
      </c>
      <c r="C10" s="13">
        <v>1</v>
      </c>
      <c r="D10" s="13" t="s">
        <v>20</v>
      </c>
      <c r="E10" s="3" t="s">
        <v>62</v>
      </c>
      <c r="F10" s="15"/>
      <c r="G10" s="15"/>
      <c r="H10" s="15"/>
      <c r="I10" s="15"/>
      <c r="J10" s="15"/>
      <c r="K10" s="16" t="s">
        <v>38</v>
      </c>
      <c r="L10" s="16">
        <v>6</v>
      </c>
      <c r="M10" s="16" t="s">
        <v>65</v>
      </c>
      <c r="N10" s="13" t="str">
        <f t="shared" si="0"/>
        <v/>
      </c>
      <c r="O10" s="17"/>
      <c r="P10" s="17"/>
      <c r="Q10" s="17"/>
      <c r="R10" s="17"/>
      <c r="S10" s="17"/>
      <c r="T10" s="13"/>
    </row>
    <row r="11" spans="1:20" ht="135.75" customHeight="1" x14ac:dyDescent="0.25">
      <c r="A11" s="13">
        <v>1132</v>
      </c>
      <c r="B11" s="13">
        <v>2</v>
      </c>
      <c r="C11" s="13">
        <v>2</v>
      </c>
      <c r="D11" s="13" t="s">
        <v>29</v>
      </c>
      <c r="E11" s="3" t="s">
        <v>66</v>
      </c>
      <c r="F11" s="15"/>
      <c r="G11" s="15"/>
      <c r="H11" s="15"/>
      <c r="I11" s="15"/>
      <c r="J11" s="15"/>
      <c r="K11" s="16" t="s">
        <v>31</v>
      </c>
      <c r="L11" s="16">
        <v>6</v>
      </c>
      <c r="M11" s="16" t="s">
        <v>69</v>
      </c>
      <c r="N11" s="13" t="str">
        <f t="shared" si="0"/>
        <v/>
      </c>
      <c r="O11" s="17"/>
      <c r="P11" s="17"/>
      <c r="Q11" s="17"/>
      <c r="R11" s="17"/>
      <c r="S11" s="17"/>
      <c r="T11" s="13"/>
    </row>
    <row r="12" spans="1:20" ht="135.75" customHeight="1" x14ac:dyDescent="0.25">
      <c r="A12" s="13">
        <v>1132</v>
      </c>
      <c r="B12" s="13">
        <v>2</v>
      </c>
      <c r="C12" s="13">
        <v>3</v>
      </c>
      <c r="D12" s="13" t="s">
        <v>29</v>
      </c>
      <c r="E12" s="3" t="s">
        <v>70</v>
      </c>
      <c r="F12" s="15"/>
      <c r="G12" s="15"/>
      <c r="H12" s="15"/>
      <c r="I12" s="15"/>
      <c r="J12" s="15"/>
      <c r="K12" s="16" t="s">
        <v>31</v>
      </c>
      <c r="L12" s="16">
        <v>6</v>
      </c>
      <c r="M12" s="16" t="s">
        <v>69</v>
      </c>
      <c r="N12" s="13" t="str">
        <f t="shared" si="0"/>
        <v/>
      </c>
      <c r="O12" s="17"/>
      <c r="P12" s="17"/>
      <c r="Q12" s="17"/>
      <c r="R12" s="17"/>
      <c r="S12" s="17"/>
      <c r="T12" s="13"/>
    </row>
    <row r="13" spans="1:20" ht="147" customHeight="1" x14ac:dyDescent="0.25">
      <c r="A13" s="13">
        <v>1132</v>
      </c>
      <c r="B13" s="13">
        <v>2</v>
      </c>
      <c r="C13" s="13">
        <v>4</v>
      </c>
      <c r="D13" s="13" t="s">
        <v>54</v>
      </c>
      <c r="E13" s="3" t="s">
        <v>73</v>
      </c>
      <c r="F13" s="15"/>
      <c r="G13" s="15"/>
      <c r="H13" s="15"/>
      <c r="I13" s="15"/>
      <c r="J13" s="15"/>
      <c r="K13" s="16" t="s">
        <v>57</v>
      </c>
      <c r="L13" s="16"/>
      <c r="M13" s="16" t="s">
        <v>60</v>
      </c>
      <c r="N13" s="13" t="str">
        <f t="shared" si="0"/>
        <v/>
      </c>
      <c r="O13" s="17"/>
      <c r="P13" s="17"/>
      <c r="Q13" s="17"/>
      <c r="R13" s="17"/>
      <c r="S13" s="17"/>
      <c r="T13" s="13"/>
    </row>
    <row r="14" spans="1:20" ht="135.75" customHeight="1" x14ac:dyDescent="0.25">
      <c r="A14" s="13">
        <v>1132</v>
      </c>
      <c r="B14" s="13">
        <v>3</v>
      </c>
      <c r="C14" s="13">
        <v>1</v>
      </c>
      <c r="D14" s="13" t="s">
        <v>20</v>
      </c>
      <c r="E14" s="3" t="s">
        <v>77</v>
      </c>
      <c r="F14" s="15"/>
      <c r="G14" s="15"/>
      <c r="H14" s="15"/>
      <c r="I14" s="15"/>
      <c r="J14" s="15"/>
      <c r="K14" s="16" t="s">
        <v>57</v>
      </c>
      <c r="L14" s="16"/>
      <c r="M14" s="16" t="s">
        <v>80</v>
      </c>
      <c r="N14" s="13" t="str">
        <f t="shared" si="0"/>
        <v/>
      </c>
      <c r="O14" s="17"/>
      <c r="P14" s="17"/>
      <c r="Q14" s="17"/>
      <c r="R14" s="17"/>
      <c r="S14" s="17"/>
      <c r="T14" s="13"/>
    </row>
    <row r="15" spans="1:20" ht="135.75" customHeight="1" x14ac:dyDescent="0.25">
      <c r="A15" s="13">
        <v>1132</v>
      </c>
      <c r="B15" s="13">
        <v>3</v>
      </c>
      <c r="C15" s="13">
        <v>2</v>
      </c>
      <c r="D15" s="13" t="s">
        <v>54</v>
      </c>
      <c r="E15" s="3" t="s">
        <v>82</v>
      </c>
      <c r="F15" s="15"/>
      <c r="G15" s="15"/>
      <c r="H15" s="15"/>
      <c r="I15" s="15"/>
      <c r="J15" s="15"/>
      <c r="K15" s="16" t="s">
        <v>57</v>
      </c>
      <c r="L15" s="16"/>
      <c r="M15" s="16" t="s">
        <v>60</v>
      </c>
      <c r="N15" s="13" t="str">
        <f t="shared" si="0"/>
        <v/>
      </c>
      <c r="O15" s="17"/>
      <c r="P15" s="17"/>
      <c r="Q15" s="17"/>
      <c r="R15" s="17"/>
      <c r="S15" s="17"/>
      <c r="T15" s="13"/>
    </row>
    <row r="16" spans="1:20" ht="102" customHeight="1" x14ac:dyDescent="0.25">
      <c r="A16" s="13">
        <v>1153</v>
      </c>
      <c r="B16" s="13">
        <v>1</v>
      </c>
      <c r="C16" s="13">
        <v>1</v>
      </c>
      <c r="D16" s="13" t="s">
        <v>54</v>
      </c>
      <c r="E16" s="3" t="s">
        <v>85</v>
      </c>
      <c r="F16" s="15"/>
      <c r="G16" s="15"/>
      <c r="H16" s="15"/>
      <c r="I16" s="15"/>
      <c r="J16" s="15"/>
      <c r="K16" s="16" t="s">
        <v>57</v>
      </c>
      <c r="L16" s="16"/>
      <c r="M16" s="16" t="s">
        <v>88</v>
      </c>
      <c r="N16" s="13" t="str">
        <f t="shared" si="0"/>
        <v/>
      </c>
      <c r="O16" s="17"/>
      <c r="P16" s="17"/>
      <c r="Q16" s="17"/>
      <c r="R16" s="17"/>
      <c r="S16" s="17"/>
      <c r="T16" s="13"/>
    </row>
    <row r="17" spans="1:20" ht="102" customHeight="1" x14ac:dyDescent="0.25">
      <c r="A17" s="13">
        <v>1153</v>
      </c>
      <c r="B17" s="13">
        <v>2</v>
      </c>
      <c r="C17" s="13">
        <v>1</v>
      </c>
      <c r="D17" s="13" t="s">
        <v>29</v>
      </c>
      <c r="E17" s="3" t="s">
        <v>90</v>
      </c>
      <c r="F17" s="14" t="b">
        <f>FALSE()</f>
        <v>0</v>
      </c>
      <c r="G17" s="15">
        <v>5</v>
      </c>
      <c r="H17" s="15" t="s">
        <v>31</v>
      </c>
      <c r="I17" s="15" t="s">
        <v>387</v>
      </c>
      <c r="J17" s="15" t="s">
        <v>388</v>
      </c>
      <c r="K17" s="16" t="s">
        <v>31</v>
      </c>
      <c r="L17" s="16">
        <v>7</v>
      </c>
      <c r="M17" s="16" t="s">
        <v>93</v>
      </c>
      <c r="N17" s="13">
        <f t="shared" si="0"/>
        <v>1</v>
      </c>
      <c r="O17" s="17"/>
      <c r="P17" s="17"/>
      <c r="Q17" s="17"/>
      <c r="R17" s="17"/>
      <c r="S17" s="17"/>
      <c r="T17" s="13"/>
    </row>
    <row r="18" spans="1:20" ht="113.25" customHeight="1" x14ac:dyDescent="0.25">
      <c r="A18" s="13">
        <v>1153</v>
      </c>
      <c r="B18" s="13">
        <v>2</v>
      </c>
      <c r="C18" s="13">
        <v>2</v>
      </c>
      <c r="D18" s="13" t="s">
        <v>20</v>
      </c>
      <c r="E18" s="3" t="s">
        <v>95</v>
      </c>
      <c r="F18" s="15"/>
      <c r="G18" s="15"/>
      <c r="H18" s="15"/>
      <c r="I18" s="15"/>
      <c r="J18" s="15"/>
      <c r="K18" s="16" t="s">
        <v>22</v>
      </c>
      <c r="L18" s="16">
        <v>6</v>
      </c>
      <c r="M18" s="16" t="s">
        <v>98</v>
      </c>
      <c r="N18" s="13" t="str">
        <f t="shared" si="0"/>
        <v/>
      </c>
      <c r="O18" s="17"/>
      <c r="P18" s="17"/>
      <c r="Q18" s="17"/>
      <c r="R18" s="17"/>
      <c r="S18" s="17"/>
      <c r="T18" s="13"/>
    </row>
    <row r="19" spans="1:20" ht="124.5" customHeight="1" x14ac:dyDescent="0.25">
      <c r="A19" s="13">
        <v>1153</v>
      </c>
      <c r="B19" s="13">
        <v>2</v>
      </c>
      <c r="C19" s="13">
        <v>3</v>
      </c>
      <c r="D19" s="13" t="s">
        <v>54</v>
      </c>
      <c r="E19" s="3" t="s">
        <v>99</v>
      </c>
      <c r="F19" s="15"/>
      <c r="G19" s="15"/>
      <c r="H19" s="15"/>
      <c r="I19" s="15"/>
      <c r="J19" s="15"/>
      <c r="K19" s="16" t="s">
        <v>57</v>
      </c>
      <c r="L19" s="16"/>
      <c r="M19" s="16" t="s">
        <v>102</v>
      </c>
      <c r="N19" s="13" t="str">
        <f t="shared" si="0"/>
        <v/>
      </c>
      <c r="O19" s="17"/>
      <c r="P19" s="17"/>
      <c r="Q19" s="17"/>
      <c r="R19" s="17"/>
      <c r="S19" s="17"/>
      <c r="T19" s="13"/>
    </row>
    <row r="20" spans="1:20" ht="57" customHeight="1" x14ac:dyDescent="0.25">
      <c r="A20" s="13">
        <v>1153</v>
      </c>
      <c r="B20" s="13">
        <v>3</v>
      </c>
      <c r="C20" s="13">
        <v>1</v>
      </c>
      <c r="D20" s="13" t="s">
        <v>54</v>
      </c>
      <c r="E20" s="3" t="s">
        <v>103</v>
      </c>
      <c r="F20" s="15"/>
      <c r="G20" s="15"/>
      <c r="H20" s="15"/>
      <c r="I20" s="15"/>
      <c r="J20" s="15"/>
      <c r="K20" s="16" t="s">
        <v>57</v>
      </c>
      <c r="L20" s="16"/>
      <c r="M20" s="16" t="s">
        <v>102</v>
      </c>
      <c r="N20" s="13" t="str">
        <f t="shared" si="0"/>
        <v/>
      </c>
      <c r="O20" s="17"/>
      <c r="P20" s="17"/>
      <c r="Q20" s="17"/>
      <c r="R20" s="17"/>
      <c r="S20" s="17"/>
      <c r="T20" s="13"/>
    </row>
    <row r="21" spans="1:20" ht="258.75" customHeight="1" x14ac:dyDescent="0.25">
      <c r="A21" s="13">
        <v>1828</v>
      </c>
      <c r="B21" s="13">
        <v>1</v>
      </c>
      <c r="C21" s="13">
        <v>1</v>
      </c>
      <c r="D21" s="13" t="s">
        <v>20</v>
      </c>
      <c r="E21" s="3" t="s">
        <v>106</v>
      </c>
      <c r="F21" s="15"/>
      <c r="G21" s="15"/>
      <c r="H21" s="15"/>
      <c r="I21" s="15"/>
      <c r="J21" s="15"/>
      <c r="K21" s="16" t="s">
        <v>22</v>
      </c>
      <c r="L21" s="16">
        <v>16</v>
      </c>
      <c r="M21" s="16" t="s">
        <v>109</v>
      </c>
      <c r="N21" s="13" t="str">
        <f t="shared" si="0"/>
        <v/>
      </c>
      <c r="O21" s="17"/>
      <c r="P21" s="17"/>
      <c r="Q21" s="17"/>
      <c r="R21" s="17"/>
      <c r="S21" s="17"/>
      <c r="T21" s="13"/>
    </row>
    <row r="22" spans="1:20" ht="258.75" customHeight="1" x14ac:dyDescent="0.25">
      <c r="A22" s="13">
        <v>1828</v>
      </c>
      <c r="B22" s="13">
        <v>1</v>
      </c>
      <c r="C22" s="13">
        <v>2</v>
      </c>
      <c r="D22" s="13" t="s">
        <v>110</v>
      </c>
      <c r="E22" s="3" t="s">
        <v>111</v>
      </c>
      <c r="F22" s="15"/>
      <c r="G22" s="15"/>
      <c r="H22" s="15"/>
      <c r="I22" s="15"/>
      <c r="J22" s="15"/>
      <c r="K22" s="16" t="s">
        <v>31</v>
      </c>
      <c r="L22" s="16">
        <v>3</v>
      </c>
      <c r="M22" s="16" t="s">
        <v>114</v>
      </c>
      <c r="N22" s="13" t="str">
        <f t="shared" si="0"/>
        <v/>
      </c>
      <c r="O22" s="17"/>
      <c r="P22" s="17"/>
      <c r="Q22" s="17"/>
      <c r="R22" s="17"/>
      <c r="S22" s="17"/>
      <c r="T22" s="13"/>
    </row>
    <row r="23" spans="1:20" ht="258.75" customHeight="1" x14ac:dyDescent="0.25">
      <c r="A23" s="13">
        <v>1828</v>
      </c>
      <c r="B23" s="13">
        <v>1</v>
      </c>
      <c r="C23" s="13">
        <v>3</v>
      </c>
      <c r="D23" s="13" t="s">
        <v>54</v>
      </c>
      <c r="E23" s="3" t="s">
        <v>115</v>
      </c>
      <c r="F23" s="15"/>
      <c r="G23" s="15"/>
      <c r="H23" s="15"/>
      <c r="I23" s="15"/>
      <c r="J23" s="15"/>
      <c r="K23" s="16" t="s">
        <v>57</v>
      </c>
      <c r="L23" s="16"/>
      <c r="M23" s="16" t="s">
        <v>118</v>
      </c>
      <c r="N23" s="13" t="str">
        <f t="shared" si="0"/>
        <v/>
      </c>
      <c r="O23" s="17"/>
      <c r="P23" s="17"/>
      <c r="Q23" s="17"/>
      <c r="R23" s="17"/>
      <c r="S23" s="17"/>
      <c r="T23" s="13"/>
    </row>
    <row r="24" spans="1:20" ht="281.25" customHeight="1" x14ac:dyDescent="0.25">
      <c r="A24" s="13">
        <v>1828</v>
      </c>
      <c r="B24" s="13">
        <v>2</v>
      </c>
      <c r="C24" s="13">
        <v>1</v>
      </c>
      <c r="D24" s="13" t="s">
        <v>20</v>
      </c>
      <c r="E24" s="3" t="s">
        <v>119</v>
      </c>
      <c r="F24" s="15"/>
      <c r="G24" s="15"/>
      <c r="H24" s="15"/>
      <c r="I24" s="15"/>
      <c r="J24" s="15"/>
      <c r="K24" s="16" t="s">
        <v>22</v>
      </c>
      <c r="L24" s="16">
        <v>7</v>
      </c>
      <c r="M24" s="16" t="s">
        <v>122</v>
      </c>
      <c r="N24" s="13" t="str">
        <f t="shared" si="0"/>
        <v/>
      </c>
      <c r="O24" s="17"/>
      <c r="P24" s="17"/>
      <c r="Q24" s="17"/>
      <c r="R24" s="17"/>
      <c r="S24" s="17"/>
      <c r="T24" s="13"/>
    </row>
    <row r="25" spans="1:20" ht="281.25" customHeight="1" x14ac:dyDescent="0.25">
      <c r="A25" s="13">
        <v>1828</v>
      </c>
      <c r="B25" s="13">
        <v>2</v>
      </c>
      <c r="C25" s="13">
        <v>2</v>
      </c>
      <c r="D25" s="13" t="s">
        <v>29</v>
      </c>
      <c r="E25" s="3" t="s">
        <v>123</v>
      </c>
      <c r="F25" s="15"/>
      <c r="G25" s="15"/>
      <c r="H25" s="15"/>
      <c r="I25" s="15"/>
      <c r="J25" s="15"/>
      <c r="K25" s="16" t="s">
        <v>31</v>
      </c>
      <c r="L25" s="16">
        <v>7</v>
      </c>
      <c r="M25" s="16" t="s">
        <v>126</v>
      </c>
      <c r="N25" s="13" t="str">
        <f t="shared" si="0"/>
        <v/>
      </c>
      <c r="O25" s="17"/>
      <c r="P25" s="17"/>
      <c r="Q25" s="17"/>
      <c r="R25" s="17"/>
      <c r="S25" s="17"/>
      <c r="T25" s="13"/>
    </row>
    <row r="26" spans="1:20" ht="359.25" customHeight="1" x14ac:dyDescent="0.25">
      <c r="A26" s="13">
        <v>1828</v>
      </c>
      <c r="B26" s="13">
        <v>2</v>
      </c>
      <c r="C26" s="13">
        <v>3</v>
      </c>
      <c r="D26" s="13" t="s">
        <v>54</v>
      </c>
      <c r="E26" s="3" t="s">
        <v>127</v>
      </c>
      <c r="F26" s="15"/>
      <c r="G26" s="15"/>
      <c r="H26" s="15"/>
      <c r="I26" s="15"/>
      <c r="J26" s="15"/>
      <c r="K26" s="16" t="s">
        <v>57</v>
      </c>
      <c r="L26" s="16"/>
      <c r="M26" s="16" t="s">
        <v>118</v>
      </c>
      <c r="N26" s="13" t="str">
        <f t="shared" si="0"/>
        <v/>
      </c>
      <c r="O26" s="17"/>
      <c r="P26" s="17"/>
      <c r="Q26" s="17"/>
      <c r="R26" s="17"/>
      <c r="S26" s="17"/>
      <c r="T26" s="13"/>
    </row>
    <row r="27" spans="1:20" ht="213.75" customHeight="1" x14ac:dyDescent="0.25">
      <c r="A27" s="13">
        <v>1828</v>
      </c>
      <c r="B27" s="13">
        <v>3</v>
      </c>
      <c r="C27" s="13">
        <v>1</v>
      </c>
      <c r="D27" s="13" t="s">
        <v>54</v>
      </c>
      <c r="E27" s="3" t="s">
        <v>130</v>
      </c>
      <c r="F27" s="15"/>
      <c r="G27" s="15"/>
      <c r="H27" s="15"/>
      <c r="I27" s="15"/>
      <c r="J27" s="15"/>
      <c r="K27" s="16" t="s">
        <v>57</v>
      </c>
      <c r="L27" s="16"/>
      <c r="M27" s="16" t="s">
        <v>118</v>
      </c>
      <c r="N27" s="13" t="str">
        <f t="shared" si="0"/>
        <v/>
      </c>
      <c r="O27" s="17"/>
      <c r="P27" s="17"/>
      <c r="Q27" s="17"/>
      <c r="R27" s="17"/>
      <c r="S27" s="17"/>
      <c r="T27" s="13"/>
    </row>
    <row r="28" spans="1:20" ht="225" customHeight="1" x14ac:dyDescent="0.25">
      <c r="A28" s="13">
        <v>1873</v>
      </c>
      <c r="B28" s="13">
        <v>1</v>
      </c>
      <c r="C28" s="13">
        <v>1</v>
      </c>
      <c r="D28" s="13" t="s">
        <v>20</v>
      </c>
      <c r="E28" s="3" t="s">
        <v>133</v>
      </c>
      <c r="F28" s="15"/>
      <c r="G28" s="15"/>
      <c r="H28" s="15"/>
      <c r="I28" s="15"/>
      <c r="J28" s="15"/>
      <c r="K28" s="16" t="s">
        <v>22</v>
      </c>
      <c r="L28" s="16">
        <v>13</v>
      </c>
      <c r="M28" s="16" t="s">
        <v>136</v>
      </c>
      <c r="N28" s="13" t="str">
        <f t="shared" si="0"/>
        <v/>
      </c>
      <c r="O28" s="17"/>
      <c r="P28" s="17"/>
      <c r="Q28" s="17"/>
      <c r="R28" s="17"/>
      <c r="S28" s="17"/>
      <c r="T28" s="13"/>
    </row>
    <row r="29" spans="1:20" ht="225" customHeight="1" x14ac:dyDescent="0.25">
      <c r="A29" s="13">
        <v>1873</v>
      </c>
      <c r="B29" s="13">
        <v>1</v>
      </c>
      <c r="C29" s="13">
        <v>2</v>
      </c>
      <c r="D29" s="13" t="s">
        <v>137</v>
      </c>
      <c r="E29" s="3" t="s">
        <v>138</v>
      </c>
      <c r="F29" s="14" t="b">
        <f>FALSE()</f>
        <v>0</v>
      </c>
      <c r="G29" s="15">
        <v>5</v>
      </c>
      <c r="H29" s="15" t="s">
        <v>38</v>
      </c>
      <c r="I29" s="15" t="s">
        <v>387</v>
      </c>
      <c r="J29" s="15" t="s">
        <v>388</v>
      </c>
      <c r="K29" s="16" t="s">
        <v>31</v>
      </c>
      <c r="L29" s="16">
        <v>6</v>
      </c>
      <c r="M29" s="16" t="s">
        <v>141</v>
      </c>
      <c r="N29" s="13">
        <f t="shared" si="0"/>
        <v>0</v>
      </c>
      <c r="O29" s="17"/>
      <c r="P29" s="17"/>
      <c r="Q29" s="17"/>
      <c r="R29" s="17"/>
      <c r="S29" s="17"/>
      <c r="T29" s="13"/>
    </row>
    <row r="30" spans="1:20" ht="325.5" customHeight="1" x14ac:dyDescent="0.25">
      <c r="A30" s="13">
        <v>1873</v>
      </c>
      <c r="B30" s="13">
        <v>1</v>
      </c>
      <c r="C30" s="13">
        <v>3</v>
      </c>
      <c r="D30" s="13" t="s">
        <v>137</v>
      </c>
      <c r="E30" s="3" t="s">
        <v>143</v>
      </c>
      <c r="F30" s="15"/>
      <c r="G30" s="15"/>
      <c r="H30" s="15"/>
      <c r="I30" s="15"/>
      <c r="J30" s="15"/>
      <c r="K30" s="16" t="s">
        <v>31</v>
      </c>
      <c r="L30" s="16">
        <v>20</v>
      </c>
      <c r="M30" s="16" t="s">
        <v>146</v>
      </c>
      <c r="N30" s="13" t="str">
        <f t="shared" si="0"/>
        <v/>
      </c>
      <c r="O30" s="17"/>
      <c r="P30" s="17"/>
      <c r="Q30" s="17"/>
      <c r="R30" s="17"/>
      <c r="S30" s="17"/>
      <c r="T30" s="13"/>
    </row>
    <row r="31" spans="1:20" ht="325.5" customHeight="1" x14ac:dyDescent="0.25">
      <c r="A31" s="13">
        <v>1873</v>
      </c>
      <c r="B31" s="13">
        <v>1</v>
      </c>
      <c r="C31" s="13">
        <v>4</v>
      </c>
      <c r="D31" s="13" t="s">
        <v>137</v>
      </c>
      <c r="E31" s="3" t="s">
        <v>147</v>
      </c>
      <c r="F31" s="15"/>
      <c r="G31" s="15"/>
      <c r="H31" s="15"/>
      <c r="I31" s="15"/>
      <c r="J31" s="15"/>
      <c r="K31" s="16" t="s">
        <v>31</v>
      </c>
      <c r="L31" s="16">
        <v>6</v>
      </c>
      <c r="M31" s="16" t="s">
        <v>150</v>
      </c>
      <c r="N31" s="13" t="str">
        <f t="shared" si="0"/>
        <v/>
      </c>
      <c r="O31" s="17"/>
      <c r="P31" s="17"/>
      <c r="Q31" s="17"/>
      <c r="R31" s="17"/>
      <c r="S31" s="17"/>
      <c r="T31" s="13"/>
    </row>
    <row r="32" spans="1:20" ht="258.75" customHeight="1" x14ac:dyDescent="0.25">
      <c r="A32" s="13">
        <v>1873</v>
      </c>
      <c r="B32" s="13">
        <v>1</v>
      </c>
      <c r="C32" s="13">
        <v>5</v>
      </c>
      <c r="D32" s="13" t="s">
        <v>20</v>
      </c>
      <c r="E32" s="3" t="s">
        <v>151</v>
      </c>
      <c r="F32" s="14" t="b">
        <f>TRUE()</f>
        <v>1</v>
      </c>
      <c r="G32" s="15" t="s">
        <v>56</v>
      </c>
      <c r="H32" s="15" t="s">
        <v>57</v>
      </c>
      <c r="I32" s="15" t="s">
        <v>387</v>
      </c>
      <c r="J32" s="15" t="s">
        <v>388</v>
      </c>
      <c r="K32" s="16" t="s">
        <v>38</v>
      </c>
      <c r="L32" s="16">
        <v>6</v>
      </c>
      <c r="M32" s="16" t="s">
        <v>154</v>
      </c>
      <c r="N32" s="13">
        <f t="shared" si="0"/>
        <v>0</v>
      </c>
      <c r="O32" s="17"/>
      <c r="P32" s="17"/>
      <c r="Q32" s="17"/>
      <c r="R32" s="17"/>
      <c r="S32" s="17"/>
      <c r="T32" s="13"/>
    </row>
    <row r="33" spans="1:20" ht="247.5" customHeight="1" x14ac:dyDescent="0.25">
      <c r="A33" s="13">
        <v>1873</v>
      </c>
      <c r="B33" s="13">
        <v>1</v>
      </c>
      <c r="C33" s="13">
        <v>6</v>
      </c>
      <c r="D33" s="13" t="s">
        <v>20</v>
      </c>
      <c r="E33" s="3" t="s">
        <v>156</v>
      </c>
      <c r="F33" s="15"/>
      <c r="G33" s="15"/>
      <c r="H33" s="15"/>
      <c r="I33" s="15"/>
      <c r="J33" s="15"/>
      <c r="K33" s="16" t="s">
        <v>22</v>
      </c>
      <c r="L33" s="16">
        <v>6</v>
      </c>
      <c r="M33" s="16" t="s">
        <v>159</v>
      </c>
      <c r="N33" s="13" t="str">
        <f t="shared" si="0"/>
        <v/>
      </c>
      <c r="O33" s="17"/>
      <c r="P33" s="17"/>
      <c r="Q33" s="17"/>
      <c r="R33" s="17"/>
      <c r="S33" s="17"/>
      <c r="T33" s="13"/>
    </row>
    <row r="34" spans="1:20" ht="247.5" customHeight="1" x14ac:dyDescent="0.25">
      <c r="A34" s="13">
        <v>1873</v>
      </c>
      <c r="B34" s="13">
        <v>1</v>
      </c>
      <c r="C34" s="13">
        <v>7</v>
      </c>
      <c r="D34" s="13" t="s">
        <v>20</v>
      </c>
      <c r="E34" s="3" t="s">
        <v>160</v>
      </c>
      <c r="F34" s="15"/>
      <c r="G34" s="15"/>
      <c r="H34" s="15"/>
      <c r="I34" s="15"/>
      <c r="J34" s="15"/>
      <c r="K34" s="16" t="s">
        <v>22</v>
      </c>
      <c r="L34" s="16">
        <v>6</v>
      </c>
      <c r="M34" s="16" t="s">
        <v>159</v>
      </c>
      <c r="N34" s="13" t="str">
        <f t="shared" ref="N34:N51" si="1">IF(AND(H34&lt;&gt;"",K34&lt;&gt;""),IF(H34=K34,1,0),"")</f>
        <v/>
      </c>
      <c r="O34" s="17"/>
      <c r="P34" s="17"/>
      <c r="Q34" s="17"/>
      <c r="R34" s="17"/>
      <c r="S34" s="17"/>
      <c r="T34" s="13"/>
    </row>
    <row r="35" spans="1:20" ht="247.5" customHeight="1" x14ac:dyDescent="0.25">
      <c r="A35" s="13">
        <v>1873</v>
      </c>
      <c r="B35" s="13">
        <v>1</v>
      </c>
      <c r="C35" s="13">
        <v>8</v>
      </c>
      <c r="D35" s="13" t="s">
        <v>54</v>
      </c>
      <c r="E35" s="3" t="s">
        <v>163</v>
      </c>
      <c r="F35" s="14" t="b">
        <f>FALSE()</f>
        <v>0</v>
      </c>
      <c r="G35" s="15">
        <v>5</v>
      </c>
      <c r="H35" s="15" t="s">
        <v>22</v>
      </c>
      <c r="I35" s="15" t="s">
        <v>387</v>
      </c>
      <c r="J35" s="15" t="s">
        <v>388</v>
      </c>
      <c r="K35" s="16" t="s">
        <v>57</v>
      </c>
      <c r="L35" s="16"/>
      <c r="M35" s="16" t="s">
        <v>118</v>
      </c>
      <c r="N35" s="13">
        <f t="shared" si="1"/>
        <v>0</v>
      </c>
      <c r="O35" s="17"/>
      <c r="P35" s="17"/>
      <c r="Q35" s="17"/>
      <c r="R35" s="17"/>
      <c r="S35" s="17"/>
      <c r="T35" s="13"/>
    </row>
    <row r="36" spans="1:20" ht="270" customHeight="1" x14ac:dyDescent="0.25">
      <c r="A36" s="13">
        <v>1873</v>
      </c>
      <c r="B36" s="13">
        <v>2</v>
      </c>
      <c r="C36" s="13">
        <v>1</v>
      </c>
      <c r="D36" s="13" t="s">
        <v>20</v>
      </c>
      <c r="E36" s="3" t="s">
        <v>167</v>
      </c>
      <c r="F36" s="15"/>
      <c r="G36" s="15"/>
      <c r="H36" s="15"/>
      <c r="I36" s="15"/>
      <c r="J36" s="15"/>
      <c r="K36" s="16" t="s">
        <v>22</v>
      </c>
      <c r="L36" s="16">
        <v>11</v>
      </c>
      <c r="M36" s="16" t="s">
        <v>170</v>
      </c>
      <c r="N36" s="13" t="str">
        <f t="shared" si="1"/>
        <v/>
      </c>
      <c r="O36" s="17"/>
      <c r="P36" s="17"/>
      <c r="Q36" s="17"/>
      <c r="R36" s="17"/>
      <c r="S36" s="17"/>
      <c r="T36" s="13"/>
    </row>
    <row r="37" spans="1:20" ht="270" customHeight="1" x14ac:dyDescent="0.25">
      <c r="A37" s="13">
        <v>1873</v>
      </c>
      <c r="B37" s="13">
        <v>2</v>
      </c>
      <c r="C37" s="13">
        <v>2</v>
      </c>
      <c r="D37" s="13" t="s">
        <v>20</v>
      </c>
      <c r="E37" s="3" t="s">
        <v>171</v>
      </c>
      <c r="F37" s="15"/>
      <c r="G37" s="15"/>
      <c r="H37" s="15"/>
      <c r="I37" s="15"/>
      <c r="J37" s="15"/>
      <c r="K37" s="16" t="s">
        <v>38</v>
      </c>
      <c r="L37" s="16">
        <v>24</v>
      </c>
      <c r="M37" s="16" t="s">
        <v>174</v>
      </c>
      <c r="N37" s="13" t="str">
        <f t="shared" si="1"/>
        <v/>
      </c>
      <c r="O37" s="17"/>
      <c r="P37" s="17"/>
      <c r="Q37" s="17"/>
      <c r="R37" s="17"/>
      <c r="S37" s="17"/>
      <c r="T37" s="13"/>
    </row>
    <row r="38" spans="1:20" ht="270" customHeight="1" x14ac:dyDescent="0.25">
      <c r="A38" s="13">
        <v>1873</v>
      </c>
      <c r="B38" s="13">
        <v>2</v>
      </c>
      <c r="C38" s="13">
        <v>3</v>
      </c>
      <c r="D38" s="13" t="s">
        <v>175</v>
      </c>
      <c r="E38" s="3" t="s">
        <v>176</v>
      </c>
      <c r="F38" s="15"/>
      <c r="G38" s="15"/>
      <c r="H38" s="15"/>
      <c r="I38" s="15"/>
      <c r="J38" s="15"/>
      <c r="K38" s="16" t="s">
        <v>38</v>
      </c>
      <c r="L38" s="16">
        <v>14</v>
      </c>
      <c r="M38" s="16" t="s">
        <v>179</v>
      </c>
      <c r="N38" s="13" t="str">
        <f t="shared" si="1"/>
        <v/>
      </c>
      <c r="O38" s="17"/>
      <c r="P38" s="17"/>
      <c r="Q38" s="17"/>
      <c r="R38" s="17"/>
      <c r="S38" s="17"/>
      <c r="T38" s="13"/>
    </row>
    <row r="39" spans="1:20" ht="270" customHeight="1" x14ac:dyDescent="0.25">
      <c r="A39" s="13">
        <v>1873</v>
      </c>
      <c r="B39" s="13">
        <v>2</v>
      </c>
      <c r="C39" s="13">
        <v>4</v>
      </c>
      <c r="D39" s="13" t="s">
        <v>175</v>
      </c>
      <c r="E39" s="3" t="s">
        <v>180</v>
      </c>
      <c r="F39" s="15"/>
      <c r="G39" s="15"/>
      <c r="H39" s="15"/>
      <c r="I39" s="15"/>
      <c r="J39" s="15"/>
      <c r="K39" s="16" t="s">
        <v>38</v>
      </c>
      <c r="L39" s="16">
        <v>14</v>
      </c>
      <c r="M39" s="16" t="s">
        <v>183</v>
      </c>
      <c r="N39" s="13" t="str">
        <f t="shared" si="1"/>
        <v/>
      </c>
      <c r="O39" s="17"/>
      <c r="P39" s="17"/>
      <c r="Q39" s="17"/>
      <c r="R39" s="17"/>
      <c r="S39" s="17"/>
      <c r="T39" s="13"/>
    </row>
    <row r="40" spans="1:20" ht="270" customHeight="1" x14ac:dyDescent="0.25">
      <c r="A40" s="13">
        <v>1873</v>
      </c>
      <c r="B40" s="13">
        <v>2</v>
      </c>
      <c r="C40" s="13">
        <v>5</v>
      </c>
      <c r="D40" s="13" t="s">
        <v>175</v>
      </c>
      <c r="E40" s="3" t="s">
        <v>176</v>
      </c>
      <c r="F40" s="15"/>
      <c r="G40" s="15"/>
      <c r="H40" s="15"/>
      <c r="I40" s="15"/>
      <c r="J40" s="15"/>
      <c r="K40" s="16" t="s">
        <v>38</v>
      </c>
      <c r="L40" s="16">
        <v>14</v>
      </c>
      <c r="M40" s="16" t="s">
        <v>183</v>
      </c>
      <c r="N40" s="13" t="str">
        <f t="shared" si="1"/>
        <v/>
      </c>
      <c r="O40" s="17"/>
      <c r="P40" s="17"/>
      <c r="Q40" s="17"/>
      <c r="R40" s="17"/>
      <c r="S40" s="17"/>
      <c r="T40" s="13"/>
    </row>
    <row r="41" spans="1:20" ht="270" customHeight="1" x14ac:dyDescent="0.25">
      <c r="A41" s="13">
        <v>1873</v>
      </c>
      <c r="B41" s="13">
        <v>2</v>
      </c>
      <c r="C41" s="13">
        <v>6</v>
      </c>
      <c r="D41" s="13" t="s">
        <v>175</v>
      </c>
      <c r="E41" s="3" t="s">
        <v>180</v>
      </c>
      <c r="F41" s="15"/>
      <c r="G41" s="15"/>
      <c r="H41" s="15"/>
      <c r="I41" s="15"/>
      <c r="J41" s="15"/>
      <c r="K41" s="16" t="s">
        <v>38</v>
      </c>
      <c r="L41" s="16">
        <v>14</v>
      </c>
      <c r="M41" s="16" t="s">
        <v>183</v>
      </c>
      <c r="N41" s="13" t="str">
        <f t="shared" si="1"/>
        <v/>
      </c>
      <c r="O41" s="17"/>
      <c r="P41" s="17"/>
      <c r="Q41" s="17"/>
      <c r="R41" s="17"/>
      <c r="S41" s="17"/>
      <c r="T41" s="13"/>
    </row>
    <row r="42" spans="1:20" ht="270" customHeight="1" x14ac:dyDescent="0.25">
      <c r="A42" s="13">
        <v>1873</v>
      </c>
      <c r="B42" s="13">
        <v>2</v>
      </c>
      <c r="C42" s="13">
        <v>7</v>
      </c>
      <c r="D42" s="13" t="s">
        <v>175</v>
      </c>
      <c r="E42" s="3" t="s">
        <v>176</v>
      </c>
      <c r="F42" s="15"/>
      <c r="G42" s="15"/>
      <c r="H42" s="15"/>
      <c r="I42" s="15"/>
      <c r="J42" s="15"/>
      <c r="K42" s="16" t="s">
        <v>38</v>
      </c>
      <c r="L42" s="16">
        <v>14</v>
      </c>
      <c r="M42" s="16" t="s">
        <v>183</v>
      </c>
      <c r="N42" s="13" t="str">
        <f t="shared" si="1"/>
        <v/>
      </c>
      <c r="O42" s="17"/>
      <c r="P42" s="17"/>
      <c r="Q42" s="17"/>
      <c r="R42" s="17"/>
      <c r="S42" s="17"/>
      <c r="T42" s="13"/>
    </row>
    <row r="43" spans="1:20" ht="270" customHeight="1" x14ac:dyDescent="0.25">
      <c r="A43" s="13">
        <v>1873</v>
      </c>
      <c r="B43" s="13">
        <v>2</v>
      </c>
      <c r="C43" s="13">
        <v>8</v>
      </c>
      <c r="D43" s="13" t="s">
        <v>54</v>
      </c>
      <c r="E43" s="3" t="s">
        <v>192</v>
      </c>
      <c r="F43" s="15"/>
      <c r="G43" s="15"/>
      <c r="H43" s="15"/>
      <c r="I43" s="15"/>
      <c r="J43" s="15"/>
      <c r="K43" s="16" t="s">
        <v>38</v>
      </c>
      <c r="L43" s="16">
        <v>14</v>
      </c>
      <c r="M43" s="16" t="s">
        <v>195</v>
      </c>
      <c r="N43" s="13" t="str">
        <f t="shared" si="1"/>
        <v/>
      </c>
      <c r="O43" s="17"/>
      <c r="P43" s="17"/>
      <c r="Q43" s="17"/>
      <c r="R43" s="17"/>
      <c r="S43" s="17"/>
      <c r="T43" s="13"/>
    </row>
    <row r="44" spans="1:20" ht="213.75" customHeight="1" x14ac:dyDescent="0.25">
      <c r="A44" s="13">
        <v>1873</v>
      </c>
      <c r="B44" s="13">
        <v>3</v>
      </c>
      <c r="C44" s="13">
        <v>1</v>
      </c>
      <c r="D44" s="13" t="s">
        <v>54</v>
      </c>
      <c r="E44" s="3" t="s">
        <v>197</v>
      </c>
      <c r="F44" s="15"/>
      <c r="G44" s="15"/>
      <c r="H44" s="15"/>
      <c r="I44" s="15"/>
      <c r="J44" s="15"/>
      <c r="K44" s="16" t="s">
        <v>57</v>
      </c>
      <c r="L44" s="16"/>
      <c r="M44" s="16" t="s">
        <v>118</v>
      </c>
      <c r="N44" s="13" t="str">
        <f t="shared" si="1"/>
        <v/>
      </c>
      <c r="O44" s="17"/>
      <c r="P44" s="17"/>
      <c r="Q44" s="17"/>
      <c r="R44" s="17"/>
      <c r="S44" s="17"/>
      <c r="T44" s="13"/>
    </row>
    <row r="45" spans="1:20" ht="135.75" customHeight="1" x14ac:dyDescent="0.25">
      <c r="A45" s="13">
        <v>1132</v>
      </c>
      <c r="B45" s="13">
        <v>901</v>
      </c>
      <c r="C45" s="13">
        <v>1</v>
      </c>
      <c r="D45" s="13" t="s">
        <v>29</v>
      </c>
      <c r="E45" s="3" t="s">
        <v>200</v>
      </c>
      <c r="F45" s="15"/>
      <c r="G45" s="15"/>
      <c r="H45" s="15"/>
      <c r="I45" s="15"/>
      <c r="J45" s="15"/>
      <c r="K45" s="16" t="s">
        <v>31</v>
      </c>
      <c r="L45" s="16">
        <v>9</v>
      </c>
      <c r="M45" s="16" t="s">
        <v>203</v>
      </c>
      <c r="N45" s="13" t="str">
        <f t="shared" si="1"/>
        <v/>
      </c>
      <c r="O45" s="17"/>
      <c r="P45" s="17"/>
      <c r="Q45" s="17"/>
      <c r="R45" s="17"/>
      <c r="S45" s="17"/>
      <c r="T45" s="13"/>
    </row>
    <row r="46" spans="1:20" ht="135.75" customHeight="1" x14ac:dyDescent="0.25">
      <c r="A46" s="13">
        <v>1132</v>
      </c>
      <c r="B46" s="13">
        <v>902</v>
      </c>
      <c r="C46" s="13">
        <v>1</v>
      </c>
      <c r="D46" s="13" t="s">
        <v>205</v>
      </c>
      <c r="E46" s="3" t="s">
        <v>206</v>
      </c>
      <c r="F46" s="15"/>
      <c r="G46" s="15"/>
      <c r="H46" s="15"/>
      <c r="I46" s="15"/>
      <c r="J46" s="15"/>
      <c r="K46" s="16" t="s">
        <v>22</v>
      </c>
      <c r="L46" s="16">
        <v>4</v>
      </c>
      <c r="M46" s="16" t="s">
        <v>209</v>
      </c>
      <c r="N46" s="13" t="str">
        <f t="shared" si="1"/>
        <v/>
      </c>
      <c r="O46" s="17"/>
      <c r="P46" s="17"/>
      <c r="Q46" s="17"/>
      <c r="R46" s="17"/>
      <c r="S46" s="17"/>
      <c r="T46" s="13"/>
    </row>
    <row r="47" spans="1:20" ht="79.5" customHeight="1" x14ac:dyDescent="0.25">
      <c r="A47" s="13">
        <v>1153</v>
      </c>
      <c r="B47" s="13">
        <v>903</v>
      </c>
      <c r="C47" s="13">
        <v>1</v>
      </c>
      <c r="D47" s="13" t="s">
        <v>29</v>
      </c>
      <c r="E47" s="3" t="s">
        <v>211</v>
      </c>
      <c r="F47" s="15"/>
      <c r="G47" s="15"/>
      <c r="H47" s="15"/>
      <c r="I47" s="15"/>
      <c r="J47" s="15"/>
      <c r="K47" s="16" t="s">
        <v>31</v>
      </c>
      <c r="L47" s="16">
        <v>2</v>
      </c>
      <c r="M47" s="16" t="s">
        <v>214</v>
      </c>
      <c r="N47" s="13" t="str">
        <f t="shared" si="1"/>
        <v/>
      </c>
      <c r="O47" s="17"/>
      <c r="P47" s="17"/>
      <c r="Q47" s="17"/>
      <c r="R47" s="17"/>
      <c r="S47" s="17"/>
      <c r="T47" s="13"/>
    </row>
    <row r="48" spans="1:20" ht="79.5" customHeight="1" x14ac:dyDescent="0.25">
      <c r="A48" s="13">
        <v>1153</v>
      </c>
      <c r="B48" s="13">
        <v>904</v>
      </c>
      <c r="C48" s="13">
        <v>1</v>
      </c>
      <c r="D48" s="13" t="s">
        <v>29</v>
      </c>
      <c r="E48" s="3" t="s">
        <v>216</v>
      </c>
      <c r="F48" s="15"/>
      <c r="G48" s="15"/>
      <c r="H48" s="15"/>
      <c r="I48" s="15"/>
      <c r="J48" s="15"/>
      <c r="K48" s="16" t="s">
        <v>31</v>
      </c>
      <c r="L48" s="16">
        <v>4</v>
      </c>
      <c r="M48" s="16" t="s">
        <v>219</v>
      </c>
      <c r="N48" s="13" t="str">
        <f t="shared" si="1"/>
        <v/>
      </c>
      <c r="O48" s="17"/>
      <c r="P48" s="17"/>
      <c r="Q48" s="17"/>
      <c r="R48" s="17"/>
      <c r="S48" s="17"/>
      <c r="T48" s="13"/>
    </row>
    <row r="49" spans="1:20" ht="225" customHeight="1" x14ac:dyDescent="0.25">
      <c r="A49" s="13">
        <v>1828</v>
      </c>
      <c r="B49" s="13">
        <v>905</v>
      </c>
      <c r="C49" s="13">
        <v>1</v>
      </c>
      <c r="D49" s="13" t="s">
        <v>221</v>
      </c>
      <c r="E49" s="3" t="s">
        <v>222</v>
      </c>
      <c r="F49" s="15"/>
      <c r="G49" s="15"/>
      <c r="H49" s="15"/>
      <c r="I49" s="15"/>
      <c r="J49" s="15"/>
      <c r="K49" s="16" t="s">
        <v>31</v>
      </c>
      <c r="L49" s="16">
        <v>7</v>
      </c>
      <c r="M49" s="16" t="s">
        <v>225</v>
      </c>
      <c r="N49" s="13" t="str">
        <f t="shared" si="1"/>
        <v/>
      </c>
      <c r="O49" s="17"/>
      <c r="P49" s="17"/>
      <c r="Q49" s="17"/>
      <c r="R49" s="17"/>
      <c r="S49" s="17"/>
      <c r="T49" s="13"/>
    </row>
    <row r="50" spans="1:20" ht="202.5" customHeight="1" x14ac:dyDescent="0.25">
      <c r="A50" s="13">
        <v>1828</v>
      </c>
      <c r="B50" s="13">
        <v>906</v>
      </c>
      <c r="C50" s="13">
        <v>1</v>
      </c>
      <c r="D50" s="13" t="s">
        <v>20</v>
      </c>
      <c r="E50" s="3" t="s">
        <v>227</v>
      </c>
      <c r="F50" s="14" t="b">
        <f>FALSE()</f>
        <v>0</v>
      </c>
      <c r="G50" s="15">
        <v>5</v>
      </c>
      <c r="H50" s="15" t="s">
        <v>38</v>
      </c>
      <c r="I50" s="15" t="s">
        <v>387</v>
      </c>
      <c r="J50" s="15" t="s">
        <v>388</v>
      </c>
      <c r="K50" s="16" t="s">
        <v>38</v>
      </c>
      <c r="L50" s="16">
        <v>6</v>
      </c>
      <c r="M50" s="16" t="s">
        <v>230</v>
      </c>
      <c r="N50" s="13">
        <f t="shared" si="1"/>
        <v>1</v>
      </c>
      <c r="O50" s="17"/>
      <c r="P50" s="17"/>
      <c r="Q50" s="17"/>
      <c r="R50" s="17"/>
      <c r="S50" s="17"/>
      <c r="T50" s="13"/>
    </row>
    <row r="51" spans="1:20" ht="225" customHeight="1" x14ac:dyDescent="0.25">
      <c r="A51" s="13">
        <v>1873</v>
      </c>
      <c r="B51" s="13">
        <v>907</v>
      </c>
      <c r="C51" s="13">
        <v>1</v>
      </c>
      <c r="D51" s="13" t="s">
        <v>232</v>
      </c>
      <c r="E51" s="3" t="s">
        <v>233</v>
      </c>
      <c r="F51" s="15"/>
      <c r="G51" s="15"/>
      <c r="H51" s="15"/>
      <c r="I51" s="15"/>
      <c r="J51" s="15"/>
      <c r="K51" s="16" t="s">
        <v>31</v>
      </c>
      <c r="L51" s="16">
        <v>19</v>
      </c>
      <c r="M51" s="16" t="s">
        <v>236</v>
      </c>
      <c r="N51" s="13" t="str">
        <f t="shared" si="1"/>
        <v/>
      </c>
      <c r="O51" s="17"/>
      <c r="P51" s="17"/>
      <c r="Q51" s="17"/>
      <c r="R51" s="17"/>
      <c r="S51" s="17"/>
      <c r="T51" s="13"/>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51"/>
  <sheetViews>
    <sheetView zoomScaleNormal="100" workbookViewId="0">
      <pane xSplit="5" ySplit="1" topLeftCell="F2" activePane="bottomRight" state="frozen"/>
      <selection pane="topRight" activeCell="F1" sqref="F1"/>
      <selection pane="bottomLeft" activeCell="A2" sqref="A2"/>
      <selection pane="bottomRight"/>
    </sheetView>
  </sheetViews>
  <sheetFormatPr defaultColWidth="8.7109375" defaultRowHeight="15" x14ac:dyDescent="0.25"/>
  <cols>
    <col min="1" max="1" width="10" style="1" customWidth="1"/>
    <col min="2" max="3" width="8" style="1" customWidth="1"/>
    <col min="4" max="4" width="20" style="1" customWidth="1"/>
    <col min="5" max="5" width="55" style="1" customWidth="1"/>
    <col min="6" max="8" width="14" style="1" customWidth="1"/>
    <col min="9" max="10" width="40" style="1" customWidth="1"/>
    <col min="11" max="12" width="14" style="1" customWidth="1"/>
    <col min="13" max="13" width="35" style="1" customWidth="1"/>
    <col min="14" max="17" width="16" style="1" customWidth="1"/>
    <col min="18" max="18" width="12" style="1" customWidth="1"/>
    <col min="19" max="19" width="16" style="1" customWidth="1"/>
    <col min="20" max="20" width="35" style="1" customWidth="1"/>
  </cols>
  <sheetData>
    <row r="1" spans="1:20" ht="30" customHeight="1" x14ac:dyDescent="0.25">
      <c r="A1" s="2" t="s">
        <v>0</v>
      </c>
      <c r="B1" s="2" t="s">
        <v>1</v>
      </c>
      <c r="C1" s="2" t="s">
        <v>2</v>
      </c>
      <c r="D1" s="2" t="s">
        <v>3</v>
      </c>
      <c r="E1" s="2" t="s">
        <v>4</v>
      </c>
      <c r="F1" s="2" t="s">
        <v>389</v>
      </c>
      <c r="G1" s="2" t="s">
        <v>390</v>
      </c>
      <c r="H1" s="2" t="s">
        <v>391</v>
      </c>
      <c r="I1" s="2" t="s">
        <v>392</v>
      </c>
      <c r="J1" s="2" t="s">
        <v>393</v>
      </c>
      <c r="K1" s="2" t="s">
        <v>10</v>
      </c>
      <c r="L1" s="2" t="s">
        <v>11</v>
      </c>
      <c r="M1" s="2" t="s">
        <v>12</v>
      </c>
      <c r="N1" s="2" t="s">
        <v>13</v>
      </c>
      <c r="O1" s="2" t="s">
        <v>14</v>
      </c>
      <c r="P1" s="2" t="s">
        <v>15</v>
      </c>
      <c r="Q1" s="2" t="s">
        <v>16</v>
      </c>
      <c r="R1" s="2" t="s">
        <v>17</v>
      </c>
      <c r="S1" s="2" t="s">
        <v>18</v>
      </c>
      <c r="T1" s="2" t="s">
        <v>19</v>
      </c>
    </row>
    <row r="2" spans="1:20" ht="102" customHeight="1" x14ac:dyDescent="0.25">
      <c r="A2" s="13">
        <v>1132</v>
      </c>
      <c r="B2" s="13">
        <v>1</v>
      </c>
      <c r="C2" s="13">
        <v>1</v>
      </c>
      <c r="D2" s="13" t="s">
        <v>20</v>
      </c>
      <c r="E2" s="3" t="s">
        <v>21</v>
      </c>
      <c r="F2" s="15"/>
      <c r="G2" s="15"/>
      <c r="H2" s="15"/>
      <c r="I2" s="15"/>
      <c r="J2" s="15"/>
      <c r="K2" s="16" t="s">
        <v>22</v>
      </c>
      <c r="L2" s="16">
        <v>6</v>
      </c>
      <c r="M2" s="16" t="s">
        <v>25</v>
      </c>
      <c r="N2" s="13" t="str">
        <f t="shared" ref="N2:N33" si="0">IF(AND(H2&lt;&gt;"",K2&lt;&gt;""),IF(H2=K2,1,0),"")</f>
        <v/>
      </c>
      <c r="O2" s="17"/>
      <c r="P2" s="17"/>
      <c r="Q2" s="17"/>
      <c r="R2" s="17"/>
      <c r="S2" s="17"/>
      <c r="T2" s="13"/>
    </row>
    <row r="3" spans="1:20" ht="102" customHeight="1" x14ac:dyDescent="0.25">
      <c r="A3" s="13">
        <v>1132</v>
      </c>
      <c r="B3" s="13">
        <v>1</v>
      </c>
      <c r="C3" s="13">
        <v>2</v>
      </c>
      <c r="D3" s="13" t="s">
        <v>20</v>
      </c>
      <c r="E3" s="3" t="s">
        <v>26</v>
      </c>
      <c r="F3" s="15"/>
      <c r="G3" s="15"/>
      <c r="H3" s="15"/>
      <c r="I3" s="15"/>
      <c r="J3" s="15"/>
      <c r="K3" s="16" t="s">
        <v>22</v>
      </c>
      <c r="L3" s="16">
        <v>6</v>
      </c>
      <c r="M3" s="16" t="s">
        <v>25</v>
      </c>
      <c r="N3" s="13" t="str">
        <f t="shared" si="0"/>
        <v/>
      </c>
      <c r="O3" s="17"/>
      <c r="P3" s="17"/>
      <c r="Q3" s="17"/>
      <c r="R3" s="17"/>
      <c r="S3" s="17"/>
      <c r="T3" s="13"/>
    </row>
    <row r="4" spans="1:20" ht="113.25" customHeight="1" x14ac:dyDescent="0.25">
      <c r="A4" s="13">
        <v>1132</v>
      </c>
      <c r="B4" s="13">
        <v>1</v>
      </c>
      <c r="C4" s="13">
        <v>3</v>
      </c>
      <c r="D4" s="13" t="s">
        <v>29</v>
      </c>
      <c r="E4" s="3" t="s">
        <v>30</v>
      </c>
      <c r="F4" s="14" t="b">
        <f>FALSE()</f>
        <v>0</v>
      </c>
      <c r="G4" s="15">
        <v>5</v>
      </c>
      <c r="H4" s="15" t="s">
        <v>31</v>
      </c>
      <c r="I4" s="15" t="s">
        <v>387</v>
      </c>
      <c r="J4" s="15" t="s">
        <v>388</v>
      </c>
      <c r="K4" s="16" t="s">
        <v>31</v>
      </c>
      <c r="L4" s="16">
        <v>7</v>
      </c>
      <c r="M4" s="16" t="s">
        <v>34</v>
      </c>
      <c r="N4" s="13">
        <f t="shared" si="0"/>
        <v>1</v>
      </c>
      <c r="O4" s="17"/>
      <c r="P4" s="17"/>
      <c r="Q4" s="17"/>
      <c r="R4" s="17"/>
      <c r="S4" s="17"/>
      <c r="T4" s="13"/>
    </row>
    <row r="5" spans="1:20" ht="102" customHeight="1" x14ac:dyDescent="0.25">
      <c r="A5" s="13">
        <v>1132</v>
      </c>
      <c r="B5" s="13">
        <v>1</v>
      </c>
      <c r="C5" s="13">
        <v>4</v>
      </c>
      <c r="D5" s="13" t="s">
        <v>20</v>
      </c>
      <c r="E5" s="3" t="s">
        <v>35</v>
      </c>
      <c r="F5" s="14" t="b">
        <f>FALSE()</f>
        <v>0</v>
      </c>
      <c r="G5" s="15">
        <v>5</v>
      </c>
      <c r="H5" s="15" t="s">
        <v>31</v>
      </c>
      <c r="I5" s="15" t="s">
        <v>387</v>
      </c>
      <c r="J5" s="15" t="s">
        <v>388</v>
      </c>
      <c r="K5" s="16" t="s">
        <v>38</v>
      </c>
      <c r="L5" s="16">
        <v>3</v>
      </c>
      <c r="M5" s="16" t="s">
        <v>39</v>
      </c>
      <c r="N5" s="13">
        <f t="shared" si="0"/>
        <v>0</v>
      </c>
      <c r="O5" s="17"/>
      <c r="P5" s="17"/>
      <c r="Q5" s="17"/>
      <c r="R5" s="17"/>
      <c r="S5" s="17"/>
      <c r="T5" s="13"/>
    </row>
    <row r="6" spans="1:20" ht="102" customHeight="1" x14ac:dyDescent="0.25">
      <c r="A6" s="13">
        <v>1132</v>
      </c>
      <c r="B6" s="13">
        <v>1</v>
      </c>
      <c r="C6" s="13">
        <v>5</v>
      </c>
      <c r="D6" s="13" t="s">
        <v>20</v>
      </c>
      <c r="E6" s="3" t="s">
        <v>41</v>
      </c>
      <c r="F6" s="15"/>
      <c r="G6" s="15"/>
      <c r="H6" s="15"/>
      <c r="I6" s="15"/>
      <c r="J6" s="15"/>
      <c r="K6" s="16" t="s">
        <v>38</v>
      </c>
      <c r="L6" s="16">
        <v>3</v>
      </c>
      <c r="M6" s="16" t="s">
        <v>39</v>
      </c>
      <c r="N6" s="13" t="str">
        <f t="shared" si="0"/>
        <v/>
      </c>
      <c r="O6" s="17"/>
      <c r="P6" s="17"/>
      <c r="Q6" s="17"/>
      <c r="R6" s="17"/>
      <c r="S6" s="17"/>
      <c r="T6" s="13"/>
    </row>
    <row r="7" spans="1:20" ht="102" customHeight="1" x14ac:dyDescent="0.25">
      <c r="A7" s="13">
        <v>1132</v>
      </c>
      <c r="B7" s="13">
        <v>1</v>
      </c>
      <c r="C7" s="13">
        <v>6</v>
      </c>
      <c r="D7" s="13" t="s">
        <v>20</v>
      </c>
      <c r="E7" s="3" t="s">
        <v>45</v>
      </c>
      <c r="F7" s="15"/>
      <c r="G7" s="15"/>
      <c r="H7" s="15"/>
      <c r="I7" s="15"/>
      <c r="J7" s="15"/>
      <c r="K7" s="16" t="s">
        <v>38</v>
      </c>
      <c r="L7" s="16">
        <v>3</v>
      </c>
      <c r="M7" s="16" t="s">
        <v>48</v>
      </c>
      <c r="N7" s="13" t="str">
        <f t="shared" si="0"/>
        <v/>
      </c>
      <c r="O7" s="17"/>
      <c r="P7" s="17"/>
      <c r="Q7" s="17"/>
      <c r="R7" s="17"/>
      <c r="S7" s="17"/>
      <c r="T7" s="13"/>
    </row>
    <row r="8" spans="1:20" ht="113.25" customHeight="1" x14ac:dyDescent="0.25">
      <c r="A8" s="13">
        <v>1132</v>
      </c>
      <c r="B8" s="13">
        <v>1</v>
      </c>
      <c r="C8" s="13">
        <v>7</v>
      </c>
      <c r="D8" s="13" t="s">
        <v>29</v>
      </c>
      <c r="E8" s="3" t="s">
        <v>50</v>
      </c>
      <c r="F8" s="15"/>
      <c r="G8" s="15"/>
      <c r="H8" s="15"/>
      <c r="I8" s="15"/>
      <c r="J8" s="15"/>
      <c r="K8" s="16" t="s">
        <v>31</v>
      </c>
      <c r="L8" s="16">
        <v>7</v>
      </c>
      <c r="M8" s="16" t="s">
        <v>53</v>
      </c>
      <c r="N8" s="13" t="str">
        <f t="shared" si="0"/>
        <v/>
      </c>
      <c r="O8" s="17"/>
      <c r="P8" s="17"/>
      <c r="Q8" s="17"/>
      <c r="R8" s="17"/>
      <c r="S8" s="17"/>
      <c r="T8" s="13"/>
    </row>
    <row r="9" spans="1:20" ht="147" customHeight="1" x14ac:dyDescent="0.25">
      <c r="A9" s="13">
        <v>1132</v>
      </c>
      <c r="B9" s="13">
        <v>1</v>
      </c>
      <c r="C9" s="13">
        <v>8</v>
      </c>
      <c r="D9" s="13" t="s">
        <v>54</v>
      </c>
      <c r="E9" s="3" t="s">
        <v>55</v>
      </c>
      <c r="F9" s="14" t="b">
        <f>FALSE()</f>
        <v>0</v>
      </c>
      <c r="G9" s="15">
        <v>5</v>
      </c>
      <c r="H9" s="15" t="s">
        <v>22</v>
      </c>
      <c r="I9" s="15" t="s">
        <v>387</v>
      </c>
      <c r="J9" s="15" t="s">
        <v>388</v>
      </c>
      <c r="K9" s="16" t="s">
        <v>57</v>
      </c>
      <c r="L9" s="16"/>
      <c r="M9" s="16" t="s">
        <v>60</v>
      </c>
      <c r="N9" s="13">
        <f t="shared" si="0"/>
        <v>0</v>
      </c>
      <c r="O9" s="17"/>
      <c r="P9" s="17"/>
      <c r="Q9" s="17"/>
      <c r="R9" s="17"/>
      <c r="S9" s="17"/>
      <c r="T9" s="13"/>
    </row>
    <row r="10" spans="1:20" ht="147" customHeight="1" x14ac:dyDescent="0.25">
      <c r="A10" s="13">
        <v>1132</v>
      </c>
      <c r="B10" s="13">
        <v>2</v>
      </c>
      <c r="C10" s="13">
        <v>1</v>
      </c>
      <c r="D10" s="13" t="s">
        <v>20</v>
      </c>
      <c r="E10" s="3" t="s">
        <v>62</v>
      </c>
      <c r="F10" s="15"/>
      <c r="G10" s="15"/>
      <c r="H10" s="15"/>
      <c r="I10" s="15"/>
      <c r="J10" s="15"/>
      <c r="K10" s="16" t="s">
        <v>38</v>
      </c>
      <c r="L10" s="16">
        <v>6</v>
      </c>
      <c r="M10" s="16" t="s">
        <v>65</v>
      </c>
      <c r="N10" s="13" t="str">
        <f t="shared" si="0"/>
        <v/>
      </c>
      <c r="O10" s="17"/>
      <c r="P10" s="17"/>
      <c r="Q10" s="17"/>
      <c r="R10" s="17"/>
      <c r="S10" s="17"/>
      <c r="T10" s="13"/>
    </row>
    <row r="11" spans="1:20" ht="135.75" customHeight="1" x14ac:dyDescent="0.25">
      <c r="A11" s="13">
        <v>1132</v>
      </c>
      <c r="B11" s="13">
        <v>2</v>
      </c>
      <c r="C11" s="13">
        <v>2</v>
      </c>
      <c r="D11" s="13" t="s">
        <v>29</v>
      </c>
      <c r="E11" s="3" t="s">
        <v>66</v>
      </c>
      <c r="F11" s="15"/>
      <c r="G11" s="15"/>
      <c r="H11" s="15"/>
      <c r="I11" s="15"/>
      <c r="J11" s="15"/>
      <c r="K11" s="16" t="s">
        <v>31</v>
      </c>
      <c r="L11" s="16">
        <v>6</v>
      </c>
      <c r="M11" s="16" t="s">
        <v>69</v>
      </c>
      <c r="N11" s="13" t="str">
        <f t="shared" si="0"/>
        <v/>
      </c>
      <c r="O11" s="17"/>
      <c r="P11" s="17"/>
      <c r="Q11" s="17"/>
      <c r="R11" s="17"/>
      <c r="S11" s="17"/>
      <c r="T11" s="13"/>
    </row>
    <row r="12" spans="1:20" ht="135.75" customHeight="1" x14ac:dyDescent="0.25">
      <c r="A12" s="13">
        <v>1132</v>
      </c>
      <c r="B12" s="13">
        <v>2</v>
      </c>
      <c r="C12" s="13">
        <v>3</v>
      </c>
      <c r="D12" s="13" t="s">
        <v>29</v>
      </c>
      <c r="E12" s="3" t="s">
        <v>70</v>
      </c>
      <c r="F12" s="15"/>
      <c r="G12" s="15"/>
      <c r="H12" s="15"/>
      <c r="I12" s="15"/>
      <c r="J12" s="15"/>
      <c r="K12" s="16" t="s">
        <v>31</v>
      </c>
      <c r="L12" s="16">
        <v>6</v>
      </c>
      <c r="M12" s="16" t="s">
        <v>69</v>
      </c>
      <c r="N12" s="13" t="str">
        <f t="shared" si="0"/>
        <v/>
      </c>
      <c r="O12" s="17"/>
      <c r="P12" s="17"/>
      <c r="Q12" s="17"/>
      <c r="R12" s="17"/>
      <c r="S12" s="17"/>
      <c r="T12" s="13"/>
    </row>
    <row r="13" spans="1:20" ht="147" customHeight="1" x14ac:dyDescent="0.25">
      <c r="A13" s="13">
        <v>1132</v>
      </c>
      <c r="B13" s="13">
        <v>2</v>
      </c>
      <c r="C13" s="13">
        <v>4</v>
      </c>
      <c r="D13" s="13" t="s">
        <v>54</v>
      </c>
      <c r="E13" s="3" t="s">
        <v>73</v>
      </c>
      <c r="F13" s="15"/>
      <c r="G13" s="15"/>
      <c r="H13" s="15"/>
      <c r="I13" s="15"/>
      <c r="J13" s="15"/>
      <c r="K13" s="16" t="s">
        <v>57</v>
      </c>
      <c r="L13" s="16"/>
      <c r="M13" s="16" t="s">
        <v>60</v>
      </c>
      <c r="N13" s="13" t="str">
        <f t="shared" si="0"/>
        <v/>
      </c>
      <c r="O13" s="17"/>
      <c r="P13" s="17"/>
      <c r="Q13" s="17"/>
      <c r="R13" s="17"/>
      <c r="S13" s="17"/>
      <c r="T13" s="13"/>
    </row>
    <row r="14" spans="1:20" ht="135.75" customHeight="1" x14ac:dyDescent="0.25">
      <c r="A14" s="13">
        <v>1132</v>
      </c>
      <c r="B14" s="13">
        <v>3</v>
      </c>
      <c r="C14" s="13">
        <v>1</v>
      </c>
      <c r="D14" s="13" t="s">
        <v>20</v>
      </c>
      <c r="E14" s="3" t="s">
        <v>77</v>
      </c>
      <c r="F14" s="15"/>
      <c r="G14" s="15"/>
      <c r="H14" s="15"/>
      <c r="I14" s="15"/>
      <c r="J14" s="15"/>
      <c r="K14" s="16" t="s">
        <v>57</v>
      </c>
      <c r="L14" s="16"/>
      <c r="M14" s="16" t="s">
        <v>80</v>
      </c>
      <c r="N14" s="13" t="str">
        <f t="shared" si="0"/>
        <v/>
      </c>
      <c r="O14" s="17"/>
      <c r="P14" s="17"/>
      <c r="Q14" s="17"/>
      <c r="R14" s="17"/>
      <c r="S14" s="17"/>
      <c r="T14" s="13"/>
    </row>
    <row r="15" spans="1:20" ht="135.75" customHeight="1" x14ac:dyDescent="0.25">
      <c r="A15" s="13">
        <v>1132</v>
      </c>
      <c r="B15" s="13">
        <v>3</v>
      </c>
      <c r="C15" s="13">
        <v>2</v>
      </c>
      <c r="D15" s="13" t="s">
        <v>54</v>
      </c>
      <c r="E15" s="3" t="s">
        <v>82</v>
      </c>
      <c r="F15" s="15"/>
      <c r="G15" s="15"/>
      <c r="H15" s="15"/>
      <c r="I15" s="15"/>
      <c r="J15" s="15"/>
      <c r="K15" s="16" t="s">
        <v>57</v>
      </c>
      <c r="L15" s="16"/>
      <c r="M15" s="16" t="s">
        <v>60</v>
      </c>
      <c r="N15" s="13" t="str">
        <f t="shared" si="0"/>
        <v/>
      </c>
      <c r="O15" s="17"/>
      <c r="P15" s="17"/>
      <c r="Q15" s="17"/>
      <c r="R15" s="17"/>
      <c r="S15" s="17"/>
      <c r="T15" s="13"/>
    </row>
    <row r="16" spans="1:20" ht="102" customHeight="1" x14ac:dyDescent="0.25">
      <c r="A16" s="13">
        <v>1153</v>
      </c>
      <c r="B16" s="13">
        <v>1</v>
      </c>
      <c r="C16" s="13">
        <v>1</v>
      </c>
      <c r="D16" s="13" t="s">
        <v>54</v>
      </c>
      <c r="E16" s="3" t="s">
        <v>85</v>
      </c>
      <c r="F16" s="15"/>
      <c r="G16" s="15"/>
      <c r="H16" s="15"/>
      <c r="I16" s="15"/>
      <c r="J16" s="15"/>
      <c r="K16" s="16" t="s">
        <v>57</v>
      </c>
      <c r="L16" s="16"/>
      <c r="M16" s="16" t="s">
        <v>88</v>
      </c>
      <c r="N16" s="13" t="str">
        <f t="shared" si="0"/>
        <v/>
      </c>
      <c r="O16" s="17"/>
      <c r="P16" s="17"/>
      <c r="Q16" s="17"/>
      <c r="R16" s="17"/>
      <c r="S16" s="17"/>
      <c r="T16" s="13"/>
    </row>
    <row r="17" spans="1:20" ht="102" customHeight="1" x14ac:dyDescent="0.25">
      <c r="A17" s="13">
        <v>1153</v>
      </c>
      <c r="B17" s="13">
        <v>2</v>
      </c>
      <c r="C17" s="13">
        <v>1</v>
      </c>
      <c r="D17" s="13" t="s">
        <v>29</v>
      </c>
      <c r="E17" s="3" t="s">
        <v>90</v>
      </c>
      <c r="F17" s="14" t="b">
        <f>FALSE()</f>
        <v>0</v>
      </c>
      <c r="G17" s="15">
        <v>5</v>
      </c>
      <c r="H17" s="15" t="s">
        <v>31</v>
      </c>
      <c r="I17" s="15" t="s">
        <v>387</v>
      </c>
      <c r="J17" s="15" t="s">
        <v>388</v>
      </c>
      <c r="K17" s="16" t="s">
        <v>31</v>
      </c>
      <c r="L17" s="16">
        <v>7</v>
      </c>
      <c r="M17" s="16" t="s">
        <v>93</v>
      </c>
      <c r="N17" s="13">
        <f t="shared" si="0"/>
        <v>1</v>
      </c>
      <c r="O17" s="17"/>
      <c r="P17" s="17"/>
      <c r="Q17" s="17"/>
      <c r="R17" s="17"/>
      <c r="S17" s="17"/>
      <c r="T17" s="13"/>
    </row>
    <row r="18" spans="1:20" ht="113.25" customHeight="1" x14ac:dyDescent="0.25">
      <c r="A18" s="13">
        <v>1153</v>
      </c>
      <c r="B18" s="13">
        <v>2</v>
      </c>
      <c r="C18" s="13">
        <v>2</v>
      </c>
      <c r="D18" s="13" t="s">
        <v>20</v>
      </c>
      <c r="E18" s="3" t="s">
        <v>95</v>
      </c>
      <c r="F18" s="15"/>
      <c r="G18" s="15"/>
      <c r="H18" s="15"/>
      <c r="I18" s="15"/>
      <c r="J18" s="15"/>
      <c r="K18" s="16" t="s">
        <v>22</v>
      </c>
      <c r="L18" s="16">
        <v>6</v>
      </c>
      <c r="M18" s="16" t="s">
        <v>98</v>
      </c>
      <c r="N18" s="13" t="str">
        <f t="shared" si="0"/>
        <v/>
      </c>
      <c r="O18" s="17"/>
      <c r="P18" s="17"/>
      <c r="Q18" s="17"/>
      <c r="R18" s="17"/>
      <c r="S18" s="17"/>
      <c r="T18" s="13"/>
    </row>
    <row r="19" spans="1:20" ht="124.5" customHeight="1" x14ac:dyDescent="0.25">
      <c r="A19" s="13">
        <v>1153</v>
      </c>
      <c r="B19" s="13">
        <v>2</v>
      </c>
      <c r="C19" s="13">
        <v>3</v>
      </c>
      <c r="D19" s="13" t="s">
        <v>54</v>
      </c>
      <c r="E19" s="3" t="s">
        <v>99</v>
      </c>
      <c r="F19" s="15"/>
      <c r="G19" s="15"/>
      <c r="H19" s="15"/>
      <c r="I19" s="15"/>
      <c r="J19" s="15"/>
      <c r="K19" s="16" t="s">
        <v>57</v>
      </c>
      <c r="L19" s="16"/>
      <c r="M19" s="16" t="s">
        <v>102</v>
      </c>
      <c r="N19" s="13" t="str">
        <f t="shared" si="0"/>
        <v/>
      </c>
      <c r="O19" s="17"/>
      <c r="P19" s="17"/>
      <c r="Q19" s="17"/>
      <c r="R19" s="17"/>
      <c r="S19" s="17"/>
      <c r="T19" s="13"/>
    </row>
    <row r="20" spans="1:20" ht="57" customHeight="1" x14ac:dyDescent="0.25">
      <c r="A20" s="13">
        <v>1153</v>
      </c>
      <c r="B20" s="13">
        <v>3</v>
      </c>
      <c r="C20" s="13">
        <v>1</v>
      </c>
      <c r="D20" s="13" t="s">
        <v>54</v>
      </c>
      <c r="E20" s="3" t="s">
        <v>103</v>
      </c>
      <c r="F20" s="15"/>
      <c r="G20" s="15"/>
      <c r="H20" s="15"/>
      <c r="I20" s="15"/>
      <c r="J20" s="15"/>
      <c r="K20" s="16" t="s">
        <v>57</v>
      </c>
      <c r="L20" s="16"/>
      <c r="M20" s="16" t="s">
        <v>102</v>
      </c>
      <c r="N20" s="13" t="str">
        <f t="shared" si="0"/>
        <v/>
      </c>
      <c r="O20" s="17"/>
      <c r="P20" s="17"/>
      <c r="Q20" s="17"/>
      <c r="R20" s="17"/>
      <c r="S20" s="17"/>
      <c r="T20" s="13"/>
    </row>
    <row r="21" spans="1:20" ht="258.75" customHeight="1" x14ac:dyDescent="0.25">
      <c r="A21" s="13">
        <v>1828</v>
      </c>
      <c r="B21" s="13">
        <v>1</v>
      </c>
      <c r="C21" s="13">
        <v>1</v>
      </c>
      <c r="D21" s="13" t="s">
        <v>20</v>
      </c>
      <c r="E21" s="3" t="s">
        <v>106</v>
      </c>
      <c r="F21" s="15"/>
      <c r="G21" s="15"/>
      <c r="H21" s="15"/>
      <c r="I21" s="15"/>
      <c r="J21" s="15"/>
      <c r="K21" s="16" t="s">
        <v>22</v>
      </c>
      <c r="L21" s="16">
        <v>16</v>
      </c>
      <c r="M21" s="16" t="s">
        <v>109</v>
      </c>
      <c r="N21" s="13" t="str">
        <f t="shared" si="0"/>
        <v/>
      </c>
      <c r="O21" s="17"/>
      <c r="P21" s="17"/>
      <c r="Q21" s="17"/>
      <c r="R21" s="17"/>
      <c r="S21" s="17"/>
      <c r="T21" s="13"/>
    </row>
    <row r="22" spans="1:20" ht="258.75" customHeight="1" x14ac:dyDescent="0.25">
      <c r="A22" s="13">
        <v>1828</v>
      </c>
      <c r="B22" s="13">
        <v>1</v>
      </c>
      <c r="C22" s="13">
        <v>2</v>
      </c>
      <c r="D22" s="13" t="s">
        <v>110</v>
      </c>
      <c r="E22" s="3" t="s">
        <v>111</v>
      </c>
      <c r="F22" s="15"/>
      <c r="G22" s="15"/>
      <c r="H22" s="15"/>
      <c r="I22" s="15"/>
      <c r="J22" s="15"/>
      <c r="K22" s="16" t="s">
        <v>31</v>
      </c>
      <c r="L22" s="16">
        <v>3</v>
      </c>
      <c r="M22" s="16" t="s">
        <v>114</v>
      </c>
      <c r="N22" s="13" t="str">
        <f t="shared" si="0"/>
        <v/>
      </c>
      <c r="O22" s="17"/>
      <c r="P22" s="17"/>
      <c r="Q22" s="17"/>
      <c r="R22" s="17"/>
      <c r="S22" s="17"/>
      <c r="T22" s="13"/>
    </row>
    <row r="23" spans="1:20" ht="258.75" customHeight="1" x14ac:dyDescent="0.25">
      <c r="A23" s="13">
        <v>1828</v>
      </c>
      <c r="B23" s="13">
        <v>1</v>
      </c>
      <c r="C23" s="13">
        <v>3</v>
      </c>
      <c r="D23" s="13" t="s">
        <v>54</v>
      </c>
      <c r="E23" s="3" t="s">
        <v>115</v>
      </c>
      <c r="F23" s="15"/>
      <c r="G23" s="15"/>
      <c r="H23" s="15"/>
      <c r="I23" s="15"/>
      <c r="J23" s="15"/>
      <c r="K23" s="16" t="s">
        <v>57</v>
      </c>
      <c r="L23" s="16"/>
      <c r="M23" s="16" t="s">
        <v>118</v>
      </c>
      <c r="N23" s="13" t="str">
        <f t="shared" si="0"/>
        <v/>
      </c>
      <c r="O23" s="17"/>
      <c r="P23" s="17"/>
      <c r="Q23" s="17"/>
      <c r="R23" s="17"/>
      <c r="S23" s="17"/>
      <c r="T23" s="13"/>
    </row>
    <row r="24" spans="1:20" ht="281.25" customHeight="1" x14ac:dyDescent="0.25">
      <c r="A24" s="13">
        <v>1828</v>
      </c>
      <c r="B24" s="13">
        <v>2</v>
      </c>
      <c r="C24" s="13">
        <v>1</v>
      </c>
      <c r="D24" s="13" t="s">
        <v>20</v>
      </c>
      <c r="E24" s="3" t="s">
        <v>119</v>
      </c>
      <c r="F24" s="15"/>
      <c r="G24" s="15"/>
      <c r="H24" s="15"/>
      <c r="I24" s="15"/>
      <c r="J24" s="15"/>
      <c r="K24" s="16" t="s">
        <v>22</v>
      </c>
      <c r="L24" s="16">
        <v>7</v>
      </c>
      <c r="M24" s="16" t="s">
        <v>122</v>
      </c>
      <c r="N24" s="13" t="str">
        <f t="shared" si="0"/>
        <v/>
      </c>
      <c r="O24" s="17"/>
      <c r="P24" s="17"/>
      <c r="Q24" s="17"/>
      <c r="R24" s="17"/>
      <c r="S24" s="17"/>
      <c r="T24" s="13"/>
    </row>
    <row r="25" spans="1:20" ht="281.25" customHeight="1" x14ac:dyDescent="0.25">
      <c r="A25" s="13">
        <v>1828</v>
      </c>
      <c r="B25" s="13">
        <v>2</v>
      </c>
      <c r="C25" s="13">
        <v>2</v>
      </c>
      <c r="D25" s="13" t="s">
        <v>29</v>
      </c>
      <c r="E25" s="3" t="s">
        <v>123</v>
      </c>
      <c r="F25" s="15"/>
      <c r="G25" s="15"/>
      <c r="H25" s="15"/>
      <c r="I25" s="15"/>
      <c r="J25" s="15"/>
      <c r="K25" s="16" t="s">
        <v>31</v>
      </c>
      <c r="L25" s="16">
        <v>7</v>
      </c>
      <c r="M25" s="16" t="s">
        <v>126</v>
      </c>
      <c r="N25" s="13" t="str">
        <f t="shared" si="0"/>
        <v/>
      </c>
      <c r="O25" s="17"/>
      <c r="P25" s="17"/>
      <c r="Q25" s="17"/>
      <c r="R25" s="17"/>
      <c r="S25" s="17"/>
      <c r="T25" s="13"/>
    </row>
    <row r="26" spans="1:20" ht="359.25" customHeight="1" x14ac:dyDescent="0.25">
      <c r="A26" s="13">
        <v>1828</v>
      </c>
      <c r="B26" s="13">
        <v>2</v>
      </c>
      <c r="C26" s="13">
        <v>3</v>
      </c>
      <c r="D26" s="13" t="s">
        <v>54</v>
      </c>
      <c r="E26" s="3" t="s">
        <v>127</v>
      </c>
      <c r="F26" s="15"/>
      <c r="G26" s="15"/>
      <c r="H26" s="15"/>
      <c r="I26" s="15"/>
      <c r="J26" s="15"/>
      <c r="K26" s="16" t="s">
        <v>57</v>
      </c>
      <c r="L26" s="16"/>
      <c r="M26" s="16" t="s">
        <v>118</v>
      </c>
      <c r="N26" s="13" t="str">
        <f t="shared" si="0"/>
        <v/>
      </c>
      <c r="O26" s="17"/>
      <c r="P26" s="17"/>
      <c r="Q26" s="17"/>
      <c r="R26" s="17"/>
      <c r="S26" s="17"/>
      <c r="T26" s="13"/>
    </row>
    <row r="27" spans="1:20" ht="213.75" customHeight="1" x14ac:dyDescent="0.25">
      <c r="A27" s="13">
        <v>1828</v>
      </c>
      <c r="B27" s="13">
        <v>3</v>
      </c>
      <c r="C27" s="13">
        <v>1</v>
      </c>
      <c r="D27" s="13" t="s">
        <v>54</v>
      </c>
      <c r="E27" s="3" t="s">
        <v>130</v>
      </c>
      <c r="F27" s="15"/>
      <c r="G27" s="15"/>
      <c r="H27" s="15"/>
      <c r="I27" s="15"/>
      <c r="J27" s="15"/>
      <c r="K27" s="16" t="s">
        <v>57</v>
      </c>
      <c r="L27" s="16"/>
      <c r="M27" s="16" t="s">
        <v>118</v>
      </c>
      <c r="N27" s="13" t="str">
        <f t="shared" si="0"/>
        <v/>
      </c>
      <c r="O27" s="17"/>
      <c r="P27" s="17"/>
      <c r="Q27" s="17"/>
      <c r="R27" s="17"/>
      <c r="S27" s="17"/>
      <c r="T27" s="13"/>
    </row>
    <row r="28" spans="1:20" ht="225" customHeight="1" x14ac:dyDescent="0.25">
      <c r="A28" s="13">
        <v>1873</v>
      </c>
      <c r="B28" s="13">
        <v>1</v>
      </c>
      <c r="C28" s="13">
        <v>1</v>
      </c>
      <c r="D28" s="13" t="s">
        <v>20</v>
      </c>
      <c r="E28" s="3" t="s">
        <v>133</v>
      </c>
      <c r="F28" s="15"/>
      <c r="G28" s="15"/>
      <c r="H28" s="15"/>
      <c r="I28" s="15"/>
      <c r="J28" s="15"/>
      <c r="K28" s="16" t="s">
        <v>22</v>
      </c>
      <c r="L28" s="16">
        <v>13</v>
      </c>
      <c r="M28" s="16" t="s">
        <v>136</v>
      </c>
      <c r="N28" s="13" t="str">
        <f t="shared" si="0"/>
        <v/>
      </c>
      <c r="O28" s="17"/>
      <c r="P28" s="17"/>
      <c r="Q28" s="17"/>
      <c r="R28" s="17"/>
      <c r="S28" s="17"/>
      <c r="T28" s="13"/>
    </row>
    <row r="29" spans="1:20" ht="225" customHeight="1" x14ac:dyDescent="0.25">
      <c r="A29" s="13">
        <v>1873</v>
      </c>
      <c r="B29" s="13">
        <v>1</v>
      </c>
      <c r="C29" s="13">
        <v>2</v>
      </c>
      <c r="D29" s="13" t="s">
        <v>137</v>
      </c>
      <c r="E29" s="3" t="s">
        <v>138</v>
      </c>
      <c r="F29" s="14" t="b">
        <f>TRUE()</f>
        <v>1</v>
      </c>
      <c r="G29" s="15" t="s">
        <v>56</v>
      </c>
      <c r="H29" s="15" t="s">
        <v>57</v>
      </c>
      <c r="I29" s="15" t="s">
        <v>387</v>
      </c>
      <c r="J29" s="15" t="s">
        <v>388</v>
      </c>
      <c r="K29" s="16" t="s">
        <v>31</v>
      </c>
      <c r="L29" s="16">
        <v>6</v>
      </c>
      <c r="M29" s="16" t="s">
        <v>141</v>
      </c>
      <c r="N29" s="13">
        <f t="shared" si="0"/>
        <v>0</v>
      </c>
      <c r="O29" s="17"/>
      <c r="P29" s="17"/>
      <c r="Q29" s="17"/>
      <c r="R29" s="17"/>
      <c r="S29" s="17"/>
      <c r="T29" s="13"/>
    </row>
    <row r="30" spans="1:20" ht="325.5" customHeight="1" x14ac:dyDescent="0.25">
      <c r="A30" s="13">
        <v>1873</v>
      </c>
      <c r="B30" s="13">
        <v>1</v>
      </c>
      <c r="C30" s="13">
        <v>3</v>
      </c>
      <c r="D30" s="13" t="s">
        <v>137</v>
      </c>
      <c r="E30" s="3" t="s">
        <v>143</v>
      </c>
      <c r="F30" s="15"/>
      <c r="G30" s="15"/>
      <c r="H30" s="15"/>
      <c r="I30" s="15"/>
      <c r="J30" s="15"/>
      <c r="K30" s="16" t="s">
        <v>31</v>
      </c>
      <c r="L30" s="16">
        <v>20</v>
      </c>
      <c r="M30" s="16" t="s">
        <v>146</v>
      </c>
      <c r="N30" s="13" t="str">
        <f t="shared" si="0"/>
        <v/>
      </c>
      <c r="O30" s="17"/>
      <c r="P30" s="17"/>
      <c r="Q30" s="17"/>
      <c r="R30" s="17"/>
      <c r="S30" s="17"/>
      <c r="T30" s="13"/>
    </row>
    <row r="31" spans="1:20" ht="325.5" customHeight="1" x14ac:dyDescent="0.25">
      <c r="A31" s="13">
        <v>1873</v>
      </c>
      <c r="B31" s="13">
        <v>1</v>
      </c>
      <c r="C31" s="13">
        <v>4</v>
      </c>
      <c r="D31" s="13" t="s">
        <v>137</v>
      </c>
      <c r="E31" s="3" t="s">
        <v>147</v>
      </c>
      <c r="F31" s="15"/>
      <c r="G31" s="15"/>
      <c r="H31" s="15"/>
      <c r="I31" s="15"/>
      <c r="J31" s="15"/>
      <c r="K31" s="16" t="s">
        <v>31</v>
      </c>
      <c r="L31" s="16">
        <v>6</v>
      </c>
      <c r="M31" s="16" t="s">
        <v>150</v>
      </c>
      <c r="N31" s="13" t="str">
        <f t="shared" si="0"/>
        <v/>
      </c>
      <c r="O31" s="17"/>
      <c r="P31" s="17"/>
      <c r="Q31" s="17"/>
      <c r="R31" s="17"/>
      <c r="S31" s="17"/>
      <c r="T31" s="13"/>
    </row>
    <row r="32" spans="1:20" ht="258.75" customHeight="1" x14ac:dyDescent="0.25">
      <c r="A32" s="13">
        <v>1873</v>
      </c>
      <c r="B32" s="13">
        <v>1</v>
      </c>
      <c r="C32" s="13">
        <v>5</v>
      </c>
      <c r="D32" s="13" t="s">
        <v>20</v>
      </c>
      <c r="E32" s="3" t="s">
        <v>151</v>
      </c>
      <c r="F32" s="14" t="b">
        <f>FALSE()</f>
        <v>0</v>
      </c>
      <c r="G32" s="15">
        <v>5</v>
      </c>
      <c r="H32" s="15" t="s">
        <v>31</v>
      </c>
      <c r="I32" s="15" t="s">
        <v>387</v>
      </c>
      <c r="J32" s="15" t="s">
        <v>388</v>
      </c>
      <c r="K32" s="16" t="s">
        <v>38</v>
      </c>
      <c r="L32" s="16">
        <v>6</v>
      </c>
      <c r="M32" s="16" t="s">
        <v>154</v>
      </c>
      <c r="N32" s="13">
        <f t="shared" si="0"/>
        <v>0</v>
      </c>
      <c r="O32" s="17"/>
      <c r="P32" s="17"/>
      <c r="Q32" s="17"/>
      <c r="R32" s="17"/>
      <c r="S32" s="17"/>
      <c r="T32" s="13"/>
    </row>
    <row r="33" spans="1:20" ht="247.5" customHeight="1" x14ac:dyDescent="0.25">
      <c r="A33" s="13">
        <v>1873</v>
      </c>
      <c r="B33" s="13">
        <v>1</v>
      </c>
      <c r="C33" s="13">
        <v>6</v>
      </c>
      <c r="D33" s="13" t="s">
        <v>20</v>
      </c>
      <c r="E33" s="3" t="s">
        <v>156</v>
      </c>
      <c r="F33" s="15"/>
      <c r="G33" s="15"/>
      <c r="H33" s="15"/>
      <c r="I33" s="15"/>
      <c r="J33" s="15"/>
      <c r="K33" s="16" t="s">
        <v>22</v>
      </c>
      <c r="L33" s="16">
        <v>6</v>
      </c>
      <c r="M33" s="16" t="s">
        <v>159</v>
      </c>
      <c r="N33" s="13" t="str">
        <f t="shared" si="0"/>
        <v/>
      </c>
      <c r="O33" s="17"/>
      <c r="P33" s="17"/>
      <c r="Q33" s="17"/>
      <c r="R33" s="17"/>
      <c r="S33" s="17"/>
      <c r="T33" s="13"/>
    </row>
    <row r="34" spans="1:20" ht="247.5" customHeight="1" x14ac:dyDescent="0.25">
      <c r="A34" s="13">
        <v>1873</v>
      </c>
      <c r="B34" s="13">
        <v>1</v>
      </c>
      <c r="C34" s="13">
        <v>7</v>
      </c>
      <c r="D34" s="13" t="s">
        <v>20</v>
      </c>
      <c r="E34" s="3" t="s">
        <v>160</v>
      </c>
      <c r="F34" s="15"/>
      <c r="G34" s="15"/>
      <c r="H34" s="15"/>
      <c r="I34" s="15"/>
      <c r="J34" s="15"/>
      <c r="K34" s="16" t="s">
        <v>22</v>
      </c>
      <c r="L34" s="16">
        <v>6</v>
      </c>
      <c r="M34" s="16" t="s">
        <v>159</v>
      </c>
      <c r="N34" s="13" t="str">
        <f t="shared" ref="N34:N51" si="1">IF(AND(H34&lt;&gt;"",K34&lt;&gt;""),IF(H34=K34,1,0),"")</f>
        <v/>
      </c>
      <c r="O34" s="17"/>
      <c r="P34" s="17"/>
      <c r="Q34" s="17"/>
      <c r="R34" s="17"/>
      <c r="S34" s="17"/>
      <c r="T34" s="13"/>
    </row>
    <row r="35" spans="1:20" ht="247.5" customHeight="1" x14ac:dyDescent="0.25">
      <c r="A35" s="13">
        <v>1873</v>
      </c>
      <c r="B35" s="13">
        <v>1</v>
      </c>
      <c r="C35" s="13">
        <v>8</v>
      </c>
      <c r="D35" s="13" t="s">
        <v>54</v>
      </c>
      <c r="E35" s="3" t="s">
        <v>163</v>
      </c>
      <c r="F35" s="14" t="b">
        <f>FALSE()</f>
        <v>0</v>
      </c>
      <c r="G35" s="15">
        <v>5</v>
      </c>
      <c r="H35" s="15" t="s">
        <v>31</v>
      </c>
      <c r="I35" s="15" t="s">
        <v>387</v>
      </c>
      <c r="J35" s="15" t="s">
        <v>388</v>
      </c>
      <c r="K35" s="16" t="s">
        <v>57</v>
      </c>
      <c r="L35" s="16"/>
      <c r="M35" s="16" t="s">
        <v>118</v>
      </c>
      <c r="N35" s="13">
        <f t="shared" si="1"/>
        <v>0</v>
      </c>
      <c r="O35" s="17"/>
      <c r="P35" s="17"/>
      <c r="Q35" s="17"/>
      <c r="R35" s="17"/>
      <c r="S35" s="17"/>
      <c r="T35" s="13"/>
    </row>
    <row r="36" spans="1:20" ht="270" customHeight="1" x14ac:dyDescent="0.25">
      <c r="A36" s="13">
        <v>1873</v>
      </c>
      <c r="B36" s="13">
        <v>2</v>
      </c>
      <c r="C36" s="13">
        <v>1</v>
      </c>
      <c r="D36" s="13" t="s">
        <v>20</v>
      </c>
      <c r="E36" s="3" t="s">
        <v>167</v>
      </c>
      <c r="F36" s="15"/>
      <c r="G36" s="15"/>
      <c r="H36" s="15"/>
      <c r="I36" s="15"/>
      <c r="J36" s="15"/>
      <c r="K36" s="16" t="s">
        <v>22</v>
      </c>
      <c r="L36" s="16">
        <v>11</v>
      </c>
      <c r="M36" s="16" t="s">
        <v>170</v>
      </c>
      <c r="N36" s="13" t="str">
        <f t="shared" si="1"/>
        <v/>
      </c>
      <c r="O36" s="17"/>
      <c r="P36" s="17"/>
      <c r="Q36" s="17"/>
      <c r="R36" s="17"/>
      <c r="S36" s="17"/>
      <c r="T36" s="13"/>
    </row>
    <row r="37" spans="1:20" ht="270" customHeight="1" x14ac:dyDescent="0.25">
      <c r="A37" s="13">
        <v>1873</v>
      </c>
      <c r="B37" s="13">
        <v>2</v>
      </c>
      <c r="C37" s="13">
        <v>2</v>
      </c>
      <c r="D37" s="13" t="s">
        <v>20</v>
      </c>
      <c r="E37" s="3" t="s">
        <v>171</v>
      </c>
      <c r="F37" s="15"/>
      <c r="G37" s="15"/>
      <c r="H37" s="15"/>
      <c r="I37" s="15"/>
      <c r="J37" s="15"/>
      <c r="K37" s="16" t="s">
        <v>38</v>
      </c>
      <c r="L37" s="16">
        <v>24</v>
      </c>
      <c r="M37" s="16" t="s">
        <v>174</v>
      </c>
      <c r="N37" s="13" t="str">
        <f t="shared" si="1"/>
        <v/>
      </c>
      <c r="O37" s="17"/>
      <c r="P37" s="17"/>
      <c r="Q37" s="17"/>
      <c r="R37" s="17"/>
      <c r="S37" s="17"/>
      <c r="T37" s="13"/>
    </row>
    <row r="38" spans="1:20" ht="270" customHeight="1" x14ac:dyDescent="0.25">
      <c r="A38" s="13">
        <v>1873</v>
      </c>
      <c r="B38" s="13">
        <v>2</v>
      </c>
      <c r="C38" s="13">
        <v>3</v>
      </c>
      <c r="D38" s="13" t="s">
        <v>175</v>
      </c>
      <c r="E38" s="3" t="s">
        <v>176</v>
      </c>
      <c r="F38" s="15"/>
      <c r="G38" s="15"/>
      <c r="H38" s="15"/>
      <c r="I38" s="15"/>
      <c r="J38" s="15"/>
      <c r="K38" s="16" t="s">
        <v>38</v>
      </c>
      <c r="L38" s="16">
        <v>14</v>
      </c>
      <c r="M38" s="16" t="s">
        <v>179</v>
      </c>
      <c r="N38" s="13" t="str">
        <f t="shared" si="1"/>
        <v/>
      </c>
      <c r="O38" s="17"/>
      <c r="P38" s="17"/>
      <c r="Q38" s="17"/>
      <c r="R38" s="17"/>
      <c r="S38" s="17"/>
      <c r="T38" s="13"/>
    </row>
    <row r="39" spans="1:20" ht="270" customHeight="1" x14ac:dyDescent="0.25">
      <c r="A39" s="13">
        <v>1873</v>
      </c>
      <c r="B39" s="13">
        <v>2</v>
      </c>
      <c r="C39" s="13">
        <v>4</v>
      </c>
      <c r="D39" s="13" t="s">
        <v>175</v>
      </c>
      <c r="E39" s="3" t="s">
        <v>180</v>
      </c>
      <c r="F39" s="15"/>
      <c r="G39" s="15"/>
      <c r="H39" s="15"/>
      <c r="I39" s="15"/>
      <c r="J39" s="15"/>
      <c r="K39" s="16" t="s">
        <v>38</v>
      </c>
      <c r="L39" s="16">
        <v>14</v>
      </c>
      <c r="M39" s="16" t="s">
        <v>183</v>
      </c>
      <c r="N39" s="13" t="str">
        <f t="shared" si="1"/>
        <v/>
      </c>
      <c r="O39" s="17"/>
      <c r="P39" s="17"/>
      <c r="Q39" s="17"/>
      <c r="R39" s="17"/>
      <c r="S39" s="17"/>
      <c r="T39" s="13"/>
    </row>
    <row r="40" spans="1:20" ht="270" customHeight="1" x14ac:dyDescent="0.25">
      <c r="A40" s="13">
        <v>1873</v>
      </c>
      <c r="B40" s="13">
        <v>2</v>
      </c>
      <c r="C40" s="13">
        <v>5</v>
      </c>
      <c r="D40" s="13" t="s">
        <v>175</v>
      </c>
      <c r="E40" s="3" t="s">
        <v>176</v>
      </c>
      <c r="F40" s="15"/>
      <c r="G40" s="15"/>
      <c r="H40" s="15"/>
      <c r="I40" s="15"/>
      <c r="J40" s="15"/>
      <c r="K40" s="16" t="s">
        <v>38</v>
      </c>
      <c r="L40" s="16">
        <v>14</v>
      </c>
      <c r="M40" s="16" t="s">
        <v>183</v>
      </c>
      <c r="N40" s="13" t="str">
        <f t="shared" si="1"/>
        <v/>
      </c>
      <c r="O40" s="17"/>
      <c r="P40" s="17"/>
      <c r="Q40" s="17"/>
      <c r="R40" s="17"/>
      <c r="S40" s="17"/>
      <c r="T40" s="13"/>
    </row>
    <row r="41" spans="1:20" ht="270" customHeight="1" x14ac:dyDescent="0.25">
      <c r="A41" s="13">
        <v>1873</v>
      </c>
      <c r="B41" s="13">
        <v>2</v>
      </c>
      <c r="C41" s="13">
        <v>6</v>
      </c>
      <c r="D41" s="13" t="s">
        <v>175</v>
      </c>
      <c r="E41" s="3" t="s">
        <v>180</v>
      </c>
      <c r="F41" s="15"/>
      <c r="G41" s="15"/>
      <c r="H41" s="15"/>
      <c r="I41" s="15"/>
      <c r="J41" s="15"/>
      <c r="K41" s="16" t="s">
        <v>38</v>
      </c>
      <c r="L41" s="16">
        <v>14</v>
      </c>
      <c r="M41" s="16" t="s">
        <v>183</v>
      </c>
      <c r="N41" s="13" t="str">
        <f t="shared" si="1"/>
        <v/>
      </c>
      <c r="O41" s="17"/>
      <c r="P41" s="17"/>
      <c r="Q41" s="17"/>
      <c r="R41" s="17"/>
      <c r="S41" s="17"/>
      <c r="T41" s="13"/>
    </row>
    <row r="42" spans="1:20" ht="270" customHeight="1" x14ac:dyDescent="0.25">
      <c r="A42" s="13">
        <v>1873</v>
      </c>
      <c r="B42" s="13">
        <v>2</v>
      </c>
      <c r="C42" s="13">
        <v>7</v>
      </c>
      <c r="D42" s="13" t="s">
        <v>175</v>
      </c>
      <c r="E42" s="3" t="s">
        <v>176</v>
      </c>
      <c r="F42" s="15"/>
      <c r="G42" s="15"/>
      <c r="H42" s="15"/>
      <c r="I42" s="15"/>
      <c r="J42" s="15"/>
      <c r="K42" s="16" t="s">
        <v>38</v>
      </c>
      <c r="L42" s="16">
        <v>14</v>
      </c>
      <c r="M42" s="16" t="s">
        <v>183</v>
      </c>
      <c r="N42" s="13" t="str">
        <f t="shared" si="1"/>
        <v/>
      </c>
      <c r="O42" s="17"/>
      <c r="P42" s="17"/>
      <c r="Q42" s="17"/>
      <c r="R42" s="17"/>
      <c r="S42" s="17"/>
      <c r="T42" s="13"/>
    </row>
    <row r="43" spans="1:20" ht="270" customHeight="1" x14ac:dyDescent="0.25">
      <c r="A43" s="13">
        <v>1873</v>
      </c>
      <c r="B43" s="13">
        <v>2</v>
      </c>
      <c r="C43" s="13">
        <v>8</v>
      </c>
      <c r="D43" s="13" t="s">
        <v>54</v>
      </c>
      <c r="E43" s="3" t="s">
        <v>192</v>
      </c>
      <c r="F43" s="15"/>
      <c r="G43" s="15"/>
      <c r="H43" s="15"/>
      <c r="I43" s="15"/>
      <c r="J43" s="15"/>
      <c r="K43" s="16" t="s">
        <v>38</v>
      </c>
      <c r="L43" s="16">
        <v>14</v>
      </c>
      <c r="M43" s="16" t="s">
        <v>195</v>
      </c>
      <c r="N43" s="13" t="str">
        <f t="shared" si="1"/>
        <v/>
      </c>
      <c r="O43" s="17"/>
      <c r="P43" s="17"/>
      <c r="Q43" s="17"/>
      <c r="R43" s="17"/>
      <c r="S43" s="17"/>
      <c r="T43" s="13"/>
    </row>
    <row r="44" spans="1:20" ht="213.75" customHeight="1" x14ac:dyDescent="0.25">
      <c r="A44" s="13">
        <v>1873</v>
      </c>
      <c r="B44" s="13">
        <v>3</v>
      </c>
      <c r="C44" s="13">
        <v>1</v>
      </c>
      <c r="D44" s="13" t="s">
        <v>54</v>
      </c>
      <c r="E44" s="3" t="s">
        <v>197</v>
      </c>
      <c r="F44" s="15"/>
      <c r="G44" s="15"/>
      <c r="H44" s="15"/>
      <c r="I44" s="15"/>
      <c r="J44" s="15"/>
      <c r="K44" s="16" t="s">
        <v>57</v>
      </c>
      <c r="L44" s="16"/>
      <c r="M44" s="16" t="s">
        <v>118</v>
      </c>
      <c r="N44" s="13" t="str">
        <f t="shared" si="1"/>
        <v/>
      </c>
      <c r="O44" s="17"/>
      <c r="P44" s="17"/>
      <c r="Q44" s="17"/>
      <c r="R44" s="17"/>
      <c r="S44" s="17"/>
      <c r="T44" s="13"/>
    </row>
    <row r="45" spans="1:20" ht="135.75" customHeight="1" x14ac:dyDescent="0.25">
      <c r="A45" s="13">
        <v>1132</v>
      </c>
      <c r="B45" s="13">
        <v>901</v>
      </c>
      <c r="C45" s="13">
        <v>1</v>
      </c>
      <c r="D45" s="13" t="s">
        <v>29</v>
      </c>
      <c r="E45" s="3" t="s">
        <v>200</v>
      </c>
      <c r="F45" s="15"/>
      <c r="G45" s="15"/>
      <c r="H45" s="15"/>
      <c r="I45" s="15"/>
      <c r="J45" s="15"/>
      <c r="K45" s="16" t="s">
        <v>31</v>
      </c>
      <c r="L45" s="16">
        <v>9</v>
      </c>
      <c r="M45" s="16" t="s">
        <v>203</v>
      </c>
      <c r="N45" s="13" t="str">
        <f t="shared" si="1"/>
        <v/>
      </c>
      <c r="O45" s="17"/>
      <c r="P45" s="17"/>
      <c r="Q45" s="17"/>
      <c r="R45" s="17"/>
      <c r="S45" s="17"/>
      <c r="T45" s="13"/>
    </row>
    <row r="46" spans="1:20" ht="135.75" customHeight="1" x14ac:dyDescent="0.25">
      <c r="A46" s="13">
        <v>1132</v>
      </c>
      <c r="B46" s="13">
        <v>902</v>
      </c>
      <c r="C46" s="13">
        <v>1</v>
      </c>
      <c r="D46" s="13" t="s">
        <v>205</v>
      </c>
      <c r="E46" s="3" t="s">
        <v>206</v>
      </c>
      <c r="F46" s="15"/>
      <c r="G46" s="15"/>
      <c r="H46" s="15"/>
      <c r="I46" s="15"/>
      <c r="J46" s="15"/>
      <c r="K46" s="16" t="s">
        <v>22</v>
      </c>
      <c r="L46" s="16">
        <v>4</v>
      </c>
      <c r="M46" s="16" t="s">
        <v>209</v>
      </c>
      <c r="N46" s="13" t="str">
        <f t="shared" si="1"/>
        <v/>
      </c>
      <c r="O46" s="17"/>
      <c r="P46" s="17"/>
      <c r="Q46" s="17"/>
      <c r="R46" s="17"/>
      <c r="S46" s="17"/>
      <c r="T46" s="13"/>
    </row>
    <row r="47" spans="1:20" ht="79.5" customHeight="1" x14ac:dyDescent="0.25">
      <c r="A47" s="13">
        <v>1153</v>
      </c>
      <c r="B47" s="13">
        <v>903</v>
      </c>
      <c r="C47" s="13">
        <v>1</v>
      </c>
      <c r="D47" s="13" t="s">
        <v>29</v>
      </c>
      <c r="E47" s="3" t="s">
        <v>211</v>
      </c>
      <c r="F47" s="15"/>
      <c r="G47" s="15"/>
      <c r="H47" s="15"/>
      <c r="I47" s="15"/>
      <c r="J47" s="15"/>
      <c r="K47" s="16" t="s">
        <v>31</v>
      </c>
      <c r="L47" s="16">
        <v>2</v>
      </c>
      <c r="M47" s="16" t="s">
        <v>214</v>
      </c>
      <c r="N47" s="13" t="str">
        <f t="shared" si="1"/>
        <v/>
      </c>
      <c r="O47" s="17"/>
      <c r="P47" s="17"/>
      <c r="Q47" s="17"/>
      <c r="R47" s="17"/>
      <c r="S47" s="17"/>
      <c r="T47" s="13"/>
    </row>
    <row r="48" spans="1:20" ht="79.5" customHeight="1" x14ac:dyDescent="0.25">
      <c r="A48" s="13">
        <v>1153</v>
      </c>
      <c r="B48" s="13">
        <v>904</v>
      </c>
      <c r="C48" s="13">
        <v>1</v>
      </c>
      <c r="D48" s="13" t="s">
        <v>29</v>
      </c>
      <c r="E48" s="3" t="s">
        <v>216</v>
      </c>
      <c r="F48" s="15"/>
      <c r="G48" s="15"/>
      <c r="H48" s="15"/>
      <c r="I48" s="15"/>
      <c r="J48" s="15"/>
      <c r="K48" s="16" t="s">
        <v>31</v>
      </c>
      <c r="L48" s="16">
        <v>4</v>
      </c>
      <c r="M48" s="16" t="s">
        <v>219</v>
      </c>
      <c r="N48" s="13" t="str">
        <f t="shared" si="1"/>
        <v/>
      </c>
      <c r="O48" s="17"/>
      <c r="P48" s="17"/>
      <c r="Q48" s="17"/>
      <c r="R48" s="17"/>
      <c r="S48" s="17"/>
      <c r="T48" s="13"/>
    </row>
    <row r="49" spans="1:20" ht="225" customHeight="1" x14ac:dyDescent="0.25">
      <c r="A49" s="13">
        <v>1828</v>
      </c>
      <c r="B49" s="13">
        <v>905</v>
      </c>
      <c r="C49" s="13">
        <v>1</v>
      </c>
      <c r="D49" s="13" t="s">
        <v>221</v>
      </c>
      <c r="E49" s="3" t="s">
        <v>222</v>
      </c>
      <c r="F49" s="15"/>
      <c r="G49" s="15"/>
      <c r="H49" s="15"/>
      <c r="I49" s="15"/>
      <c r="J49" s="15"/>
      <c r="K49" s="16" t="s">
        <v>31</v>
      </c>
      <c r="L49" s="16">
        <v>7</v>
      </c>
      <c r="M49" s="16" t="s">
        <v>225</v>
      </c>
      <c r="N49" s="13" t="str">
        <f t="shared" si="1"/>
        <v/>
      </c>
      <c r="O49" s="17"/>
      <c r="P49" s="17"/>
      <c r="Q49" s="17"/>
      <c r="R49" s="17"/>
      <c r="S49" s="17"/>
      <c r="T49" s="13"/>
    </row>
    <row r="50" spans="1:20" ht="202.5" customHeight="1" x14ac:dyDescent="0.25">
      <c r="A50" s="13">
        <v>1828</v>
      </c>
      <c r="B50" s="13">
        <v>906</v>
      </c>
      <c r="C50" s="13">
        <v>1</v>
      </c>
      <c r="D50" s="13" t="s">
        <v>20</v>
      </c>
      <c r="E50" s="3" t="s">
        <v>227</v>
      </c>
      <c r="F50" s="14" t="b">
        <f>TRUE()</f>
        <v>1</v>
      </c>
      <c r="G50" s="15" t="s">
        <v>56</v>
      </c>
      <c r="H50" s="15" t="s">
        <v>57</v>
      </c>
      <c r="I50" s="15" t="s">
        <v>387</v>
      </c>
      <c r="J50" s="15" t="s">
        <v>388</v>
      </c>
      <c r="K50" s="16" t="s">
        <v>38</v>
      </c>
      <c r="L50" s="16">
        <v>6</v>
      </c>
      <c r="M50" s="16" t="s">
        <v>230</v>
      </c>
      <c r="N50" s="13">
        <f t="shared" si="1"/>
        <v>0</v>
      </c>
      <c r="O50" s="17"/>
      <c r="P50" s="17"/>
      <c r="Q50" s="17"/>
      <c r="R50" s="17"/>
      <c r="S50" s="17"/>
      <c r="T50" s="13"/>
    </row>
    <row r="51" spans="1:20" ht="225" customHeight="1" x14ac:dyDescent="0.25">
      <c r="A51" s="13">
        <v>1873</v>
      </c>
      <c r="B51" s="13">
        <v>907</v>
      </c>
      <c r="C51" s="13">
        <v>1</v>
      </c>
      <c r="D51" s="13" t="s">
        <v>232</v>
      </c>
      <c r="E51" s="3" t="s">
        <v>233</v>
      </c>
      <c r="F51" s="15"/>
      <c r="G51" s="15"/>
      <c r="H51" s="15"/>
      <c r="I51" s="15"/>
      <c r="J51" s="15"/>
      <c r="K51" s="16" t="s">
        <v>31</v>
      </c>
      <c r="L51" s="16">
        <v>19</v>
      </c>
      <c r="M51" s="16" t="s">
        <v>236</v>
      </c>
      <c r="N51" s="13" t="str">
        <f t="shared" si="1"/>
        <v/>
      </c>
      <c r="O51" s="17"/>
      <c r="P51" s="17"/>
      <c r="Q51" s="17"/>
      <c r="R51" s="17"/>
      <c r="S51" s="17"/>
      <c r="T51" s="13"/>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25"/>
  <sheetViews>
    <sheetView zoomScaleNormal="100" workbookViewId="0"/>
  </sheetViews>
  <sheetFormatPr defaultColWidth="8.7109375" defaultRowHeight="15" x14ac:dyDescent="0.25"/>
  <cols>
    <col min="1" max="1" width="46" style="1" customWidth="1"/>
    <col min="2" max="6" width="16" style="1" customWidth="1"/>
  </cols>
  <sheetData>
    <row r="1" spans="1:4" ht="45.75" customHeight="1" x14ac:dyDescent="0.25">
      <c r="A1" s="2" t="s">
        <v>373</v>
      </c>
      <c r="B1" s="2" t="s">
        <v>394</v>
      </c>
      <c r="C1" s="2" t="s">
        <v>395</v>
      </c>
      <c r="D1" s="2" t="s">
        <v>396</v>
      </c>
    </row>
    <row r="2" spans="1:4" ht="15" customHeight="1" x14ac:dyDescent="0.25">
      <c r="A2" s="20" t="s">
        <v>377</v>
      </c>
      <c r="B2" s="21">
        <f>COUNT(Local_P0!N2:N51)</f>
        <v>8</v>
      </c>
      <c r="C2" s="21">
        <f>COUNT(Local_P2!N2:N51)</f>
        <v>8</v>
      </c>
      <c r="D2" s="21">
        <f>COUNT(Avaliacao_Local!N2:N51)</f>
        <v>50</v>
      </c>
    </row>
    <row r="3" spans="1:4" ht="15" customHeight="1" x14ac:dyDescent="0.25">
      <c r="A3" s="20" t="s">
        <v>352</v>
      </c>
      <c r="B3" s="21">
        <f>IFERROR(AVERAGE(Local_P0!N2:N51),"")</f>
        <v>0.25</v>
      </c>
      <c r="C3" s="21">
        <f>IFERROR(AVERAGE(Local_P2!N2:N51),"")</f>
        <v>0.25</v>
      </c>
      <c r="D3" s="21">
        <f>IFERROR(AVERAGE(Avaliacao_Local!N2:N51),"")</f>
        <v>0.48</v>
      </c>
    </row>
    <row r="4" spans="1:4" ht="15" customHeight="1" x14ac:dyDescent="0.25">
      <c r="A4" s="20" t="s">
        <v>345</v>
      </c>
      <c r="B4" s="21" t="str">
        <f>IFERROR(AVERAGE(Local_P0!O2:O51),"")</f>
        <v/>
      </c>
      <c r="C4" s="21" t="str">
        <f>IFERROR(AVERAGE(Local_P2!O2:O51),"")</f>
        <v/>
      </c>
      <c r="D4" s="21">
        <f>IFERROR(AVERAGE(Avaliacao_Local!O2:O51),"")</f>
        <v>3.76</v>
      </c>
    </row>
    <row r="5" spans="1:4" ht="15" customHeight="1" x14ac:dyDescent="0.25">
      <c r="A5" s="20" t="s">
        <v>346</v>
      </c>
      <c r="B5" s="21" t="str">
        <f>IFERROR(AVERAGE(Local_P0!P2:P51),"")</f>
        <v/>
      </c>
      <c r="C5" s="21" t="str">
        <f>IFERROR(AVERAGE(Local_P2!P2:P51),"")</f>
        <v/>
      </c>
      <c r="D5" s="21">
        <f>IFERROR(AVERAGE(Avaliacao_Local!P2:P51),"")</f>
        <v>4.9800000000000004</v>
      </c>
    </row>
    <row r="6" spans="1:4" ht="15" customHeight="1" x14ac:dyDescent="0.25">
      <c r="A6" s="20" t="s">
        <v>347</v>
      </c>
      <c r="B6" s="21" t="str">
        <f>IFERROR(AVERAGE(Local_P0!Q2:Q51),"")</f>
        <v/>
      </c>
      <c r="C6" s="21" t="str">
        <f>IFERROR(AVERAGE(Local_P2!Q2:Q51),"")</f>
        <v/>
      </c>
      <c r="D6" s="21">
        <f>IFERROR(AVERAGE(Avaliacao_Local!Q2:Q51),"")</f>
        <v>3.86</v>
      </c>
    </row>
    <row r="7" spans="1:4" ht="15" customHeight="1" x14ac:dyDescent="0.25">
      <c r="A7" s="20" t="s">
        <v>348</v>
      </c>
      <c r="B7" s="21" t="str">
        <f>IFERROR(AVERAGE(Local_P0!R2:R51),"")</f>
        <v/>
      </c>
      <c r="C7" s="21" t="str">
        <f>IFERROR(AVERAGE(Local_P2!R2:R51),"")</f>
        <v/>
      </c>
      <c r="D7" s="21">
        <f>IFERROR(AVERAGE(Avaliacao_Local!R2:R51),"")</f>
        <v>4.74</v>
      </c>
    </row>
    <row r="8" spans="1:4" ht="15" customHeight="1" x14ac:dyDescent="0.25">
      <c r="A8" s="20" t="s">
        <v>349</v>
      </c>
      <c r="B8" s="21" t="str">
        <f>IFERROR(AVERAGE(Local_P0!S2:S51),"")</f>
        <v/>
      </c>
      <c r="C8" s="21" t="str">
        <f>IFERROR(AVERAGE(Local_P2!S2:S51),"")</f>
        <v/>
      </c>
      <c r="D8" s="21">
        <f>IFERROR(AVERAGE(Avaliacao_Local!S2:S51),"")</f>
        <v>3.24</v>
      </c>
    </row>
    <row r="10" spans="1:4" ht="15" customHeight="1" x14ac:dyDescent="0.25">
      <c r="A10" s="24" t="s">
        <v>397</v>
      </c>
    </row>
    <row r="11" spans="1:4" ht="15" customHeight="1" x14ac:dyDescent="0.25">
      <c r="A11" s="21" t="s">
        <v>398</v>
      </c>
      <c r="B11" s="21">
        <f>COUNTIF(Local_P0!K2:K51,"Nenhum (código correto)")</f>
        <v>12</v>
      </c>
      <c r="C11" s="21">
        <f>COUNTIF(Local_P2!K2:K51,"Nenhum (código correto)")</f>
        <v>12</v>
      </c>
      <c r="D11" s="21">
        <f>COUNTIF(Avaliacao_Local!K2:K51,"Nenhum (código correto)")</f>
        <v>12</v>
      </c>
    </row>
    <row r="12" spans="1:4" ht="15" customHeight="1" x14ac:dyDescent="0.25">
      <c r="A12" s="21" t="s">
        <v>399</v>
      </c>
      <c r="B12" s="21">
        <f>SUMPRODUCT((Local_P0!K2:K51="Nenhum (código correto)")*(Local_P0!H2:H51&lt;&gt;"")*(Local_P0!H2:H51&lt;&gt;"Nenhum (código correto)"))</f>
        <v>2</v>
      </c>
      <c r="C12" s="21">
        <f>SUMPRODUCT((Local_P2!K2:K51="Nenhum (código correto)")*(Local_P2!H2:H51&lt;&gt;"")*(Local_P2!H2:H51&lt;&gt;"Nenhum (código correto)"))</f>
        <v>2</v>
      </c>
      <c r="D12" s="21">
        <f>SUMPRODUCT((Avaliacao_Local!K2:K51="Nenhum (código correto)")*(Avaliacao_Local!H2:H51&lt;&gt;"")*(Avaliacao_Local!H2:H51&lt;&gt;"Nenhum (código correto)"))</f>
        <v>7</v>
      </c>
    </row>
    <row r="13" spans="1:4" ht="15" customHeight="1" x14ac:dyDescent="0.25">
      <c r="A13" s="21" t="s">
        <v>400</v>
      </c>
      <c r="B13" s="21">
        <f>IFERROR(B12/B11,"")</f>
        <v>0.16666666666666666</v>
      </c>
      <c r="C13" s="21">
        <f>IFERROR(C12/C11,"")</f>
        <v>0.16666666666666666</v>
      </c>
      <c r="D13" s="21">
        <f>IFERROR(D12/D11,"")</f>
        <v>0.58333333333333337</v>
      </c>
    </row>
    <row r="14" spans="1:4" ht="15" customHeight="1" x14ac:dyDescent="0.25">
      <c r="A14" s="21" t="s">
        <v>401</v>
      </c>
      <c r="B14" s="21">
        <f>SUMPRODUCT((Local_P0!K2:K51&lt;&gt;"Nenhum (código correto)")*(Local_P0!K2:K51&lt;&gt;"")*(Local_P0!H2:H51="Nenhum (código correto)"))</f>
        <v>1</v>
      </c>
      <c r="C14" s="21">
        <f>SUMPRODUCT((Local_P2!K2:K51&lt;&gt;"Nenhum (código correto)")*(Local_P2!K2:K51&lt;&gt;"")*(Local_P2!H2:H51="Nenhum (código correto)"))</f>
        <v>2</v>
      </c>
      <c r="D14" s="21">
        <f>SUMPRODUCT((Avaliacao_Local!K2:K51&lt;&gt;"Nenhum (código correto)")*(Avaliacao_Local!K2:K51&lt;&gt;"")*(Avaliacao_Local!H2:H51="Nenhum (código correto)"))</f>
        <v>0</v>
      </c>
    </row>
    <row r="16" spans="1:4" ht="15" customHeight="1" x14ac:dyDescent="0.25">
      <c r="A16" s="24" t="s">
        <v>381</v>
      </c>
    </row>
    <row r="17" spans="1:4" ht="15" customHeight="1" x14ac:dyDescent="0.25">
      <c r="A17" s="20" t="s">
        <v>351</v>
      </c>
      <c r="B17" s="20" t="s">
        <v>402</v>
      </c>
      <c r="C17" s="20" t="s">
        <v>403</v>
      </c>
      <c r="D17" s="20" t="s">
        <v>404</v>
      </c>
    </row>
    <row r="18" spans="1:4" ht="15" customHeight="1" x14ac:dyDescent="0.25">
      <c r="A18" s="21">
        <v>1132</v>
      </c>
      <c r="B18" s="21">
        <f>IFERROR(AVERAGEIF(Local_P0!A2:A51,1132,Local_P0!N2:N51),"")</f>
        <v>0</v>
      </c>
      <c r="C18" s="21">
        <f>IFERROR(AVERAGEIF(Local_P2!A2:A51,1132,Local_P2!N2:N51),"")</f>
        <v>0.33333333333333331</v>
      </c>
      <c r="D18" s="21">
        <f>IFERROR(AVERAGEIF(Avaliacao_Local!A2:A51,1132,Avaliacao_Local!N2:N51),"")</f>
        <v>0.5</v>
      </c>
    </row>
    <row r="19" spans="1:4" ht="15" customHeight="1" x14ac:dyDescent="0.25">
      <c r="A19" s="21">
        <v>1153</v>
      </c>
      <c r="B19" s="21">
        <f>IFERROR(AVERAGEIF(Local_P0!A2:A51,1153,Local_P0!N2:N51),"")</f>
        <v>1</v>
      </c>
      <c r="C19" s="21">
        <f>IFERROR(AVERAGEIF(Local_P2!A2:A51,1153,Local_P2!N2:N51),"")</f>
        <v>1</v>
      </c>
      <c r="D19" s="21">
        <f>IFERROR(AVERAGEIF(Avaliacao_Local!A2:A51,1153,Avaliacao_Local!N2:N51),"")</f>
        <v>0.8571428571428571</v>
      </c>
    </row>
    <row r="20" spans="1:4" ht="15" customHeight="1" x14ac:dyDescent="0.25">
      <c r="A20" s="21">
        <v>1828</v>
      </c>
      <c r="B20" s="21">
        <f>IFERROR(AVERAGEIF(Local_P0!A2:A51,1828,Local_P0!N2:N51),"")</f>
        <v>1</v>
      </c>
      <c r="C20" s="21">
        <f>IFERROR(AVERAGEIF(Local_P2!A2:A51,1828,Local_P2!N2:N51),"")</f>
        <v>0</v>
      </c>
      <c r="D20" s="21">
        <f>IFERROR(AVERAGEIF(Avaliacao_Local!A2:A51,1828,Avaliacao_Local!N2:N51),"")</f>
        <v>0.44444444444444442</v>
      </c>
    </row>
    <row r="21" spans="1:4" ht="15" customHeight="1" x14ac:dyDescent="0.25">
      <c r="A21" s="21">
        <v>1873</v>
      </c>
      <c r="B21" s="21">
        <f>IFERROR(AVERAGEIF(Local_P0!A2:A51,1873,Local_P0!N2:N51),"")</f>
        <v>0</v>
      </c>
      <c r="C21" s="21">
        <f>IFERROR(AVERAGEIF(Local_P2!A2:A51,1873,Local_P2!N2:N51),"")</f>
        <v>0</v>
      </c>
      <c r="D21" s="21">
        <f>IFERROR(AVERAGEIF(Avaliacao_Local!A2:A51,1873,Avaliacao_Local!N2:N51),"")</f>
        <v>0.33333333333333331</v>
      </c>
    </row>
    <row r="23" spans="1:4" ht="15" customHeight="1" x14ac:dyDescent="0.25">
      <c r="A23" s="24" t="s">
        <v>405</v>
      </c>
    </row>
    <row r="24" spans="1:4" ht="15" customHeight="1" x14ac:dyDescent="0.25">
      <c r="A24" s="21" t="s">
        <v>406</v>
      </c>
      <c r="B24" s="21">
        <f>IFERROR(C3-B3,"")</f>
        <v>0</v>
      </c>
    </row>
    <row r="25" spans="1:4" ht="15" customHeight="1" x14ac:dyDescent="0.25">
      <c r="A25" s="21" t="s">
        <v>407</v>
      </c>
      <c r="B25" s="21">
        <f>IFERROR(D3-C3,"")</f>
        <v>0.22999999999999998</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
  <sheetViews>
    <sheetView zoomScaleNormal="100" workbookViewId="0">
      <selection activeCell="B5" sqref="B5"/>
    </sheetView>
  </sheetViews>
  <sheetFormatPr defaultColWidth="8.7109375" defaultRowHeight="15" x14ac:dyDescent="0.25"/>
  <cols>
    <col min="1" max="1" width="28" style="1" customWidth="1"/>
    <col min="2" max="2" width="90" style="1" customWidth="1"/>
  </cols>
  <sheetData>
    <row r="1" spans="1:2" ht="19.5" customHeight="1" x14ac:dyDescent="0.25">
      <c r="A1" s="18" t="s">
        <v>354</v>
      </c>
      <c r="B1" s="18" t="s">
        <v>355</v>
      </c>
    </row>
    <row r="2" spans="1:2" ht="30" customHeight="1" x14ac:dyDescent="0.25">
      <c r="A2" s="20" t="s">
        <v>356</v>
      </c>
      <c r="B2" s="22" t="s">
        <v>357</v>
      </c>
    </row>
    <row r="3" spans="1:2" ht="30" customHeight="1" x14ac:dyDescent="0.25">
      <c r="A3" s="20" t="s">
        <v>358</v>
      </c>
      <c r="B3" s="23" t="s">
        <v>359</v>
      </c>
    </row>
    <row r="4" spans="1:2" ht="30" customHeight="1" x14ac:dyDescent="0.25">
      <c r="A4" s="20" t="s">
        <v>12</v>
      </c>
      <c r="B4" s="23" t="s">
        <v>360</v>
      </c>
    </row>
    <row r="5" spans="1:2" ht="30" customHeight="1" x14ac:dyDescent="0.25">
      <c r="A5" s="20" t="s">
        <v>13</v>
      </c>
      <c r="B5" s="22" t="s">
        <v>361</v>
      </c>
    </row>
    <row r="6" spans="1:2" ht="30" customHeight="1" x14ac:dyDescent="0.25">
      <c r="A6" s="20" t="s">
        <v>362</v>
      </c>
      <c r="B6" s="22" t="s">
        <v>363</v>
      </c>
    </row>
    <row r="7" spans="1:2" ht="30" customHeight="1" x14ac:dyDescent="0.25">
      <c r="A7" s="20" t="s">
        <v>364</v>
      </c>
      <c r="B7" s="22" t="s">
        <v>365</v>
      </c>
    </row>
    <row r="8" spans="1:2" ht="30" customHeight="1" x14ac:dyDescent="0.25">
      <c r="A8" s="20" t="s">
        <v>366</v>
      </c>
      <c r="B8" s="22" t="s">
        <v>367</v>
      </c>
    </row>
    <row r="9" spans="1:2" ht="30" customHeight="1" x14ac:dyDescent="0.25">
      <c r="A9" s="20" t="s">
        <v>368</v>
      </c>
      <c r="B9" s="22" t="s">
        <v>369</v>
      </c>
    </row>
    <row r="10" spans="1:2" ht="30" customHeight="1" x14ac:dyDescent="0.25">
      <c r="A10" s="20" t="s">
        <v>370</v>
      </c>
      <c r="B10" s="22" t="s">
        <v>371</v>
      </c>
    </row>
    <row r="11" spans="1:2" ht="30" customHeight="1" x14ac:dyDescent="0.25">
      <c r="A11" s="20" t="s">
        <v>19</v>
      </c>
      <c r="B11" s="22" t="s">
        <v>372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Planilhas</vt:lpstr>
      </vt:variant>
      <vt:variant>
        <vt:i4>8</vt:i4>
      </vt:variant>
    </vt:vector>
  </HeadingPairs>
  <TitlesOfParts>
    <vt:vector size="8" baseType="lpstr">
      <vt:lpstr>Avaliacao</vt:lpstr>
      <vt:lpstr>Avaliacao_Local</vt:lpstr>
      <vt:lpstr>Comparativo</vt:lpstr>
      <vt:lpstr>Resumo</vt:lpstr>
      <vt:lpstr>Local_P0</vt:lpstr>
      <vt:lpstr>Local_P2</vt:lpstr>
      <vt:lpstr>Comparativo_Prompts</vt:lpstr>
      <vt:lpstr>Rubrica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Arthur Vinicius Ferreira Rodrigues</cp:lastModifiedBy>
  <cp:revision>0</cp:revision>
  <dcterms:created xsi:type="dcterms:W3CDTF">2026-07-07T13:13:14Z</dcterms:created>
  <dcterms:modified xsi:type="dcterms:W3CDTF">2026-08-13T17:36:46Z</dcterms:modified>
  <dc:language>en-US</dc:language>
</cp:coreProperties>
</file>