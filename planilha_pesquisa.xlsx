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gugovbr-my.sharepoint.com/personal/arthur_rodrigues_cgu_gov_br/Documents/Documentos/PIBIT_evandro2526/prompt testing/llm-prompt-testing-PIBIT/"/>
    </mc:Choice>
  </mc:AlternateContent>
  <xr:revisionPtr revIDLastSave="0" documentId="11_052AAB1F21DF733AB244CDC7E8B3F7DEFC4EDCD5" xr6:coauthVersionLast="47" xr6:coauthVersionMax="47" xr10:uidLastSave="{00000000-0000-0000-0000-000000000000}"/>
  <bookViews>
    <workbookView xWindow="-120" yWindow="-120" windowWidth="29040" windowHeight="15720" tabRatio="500" activeTab="2" xr2:uid="{00000000-000D-0000-FFFF-FFFF00000000}"/>
  </bookViews>
  <sheets>
    <sheet name="Gemini_P3_LoT" sheetId="1" r:id="rId1"/>
    <sheet name="Qwen_P3_LoT" sheetId="2" r:id="rId2"/>
    <sheet name="Qwen_P0_Baseline" sheetId="3" r:id="rId3"/>
    <sheet name="Qwen_P2_RegrasTestes" sheetId="4" r:id="rId4"/>
    <sheet name="Rubrica" sheetId="5" r:id="rId5"/>
    <sheet name="Comparativo_Modelos" sheetId="6" r:id="rId6"/>
    <sheet name="Comparativo_Prompts"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7" l="1"/>
  <c r="C16" i="7"/>
  <c r="B16" i="7"/>
  <c r="D15" i="7"/>
  <c r="C15" i="7"/>
  <c r="B15" i="7"/>
  <c r="D14" i="7"/>
  <c r="C14" i="7"/>
  <c r="B14" i="7"/>
  <c r="D11" i="7"/>
  <c r="C11" i="7"/>
  <c r="B11" i="7"/>
  <c r="D10" i="7"/>
  <c r="C10" i="7"/>
  <c r="B24" i="7" s="1"/>
  <c r="B10" i="7"/>
  <c r="D9" i="7"/>
  <c r="C9" i="7"/>
  <c r="B9" i="7"/>
  <c r="D8" i="7"/>
  <c r="C8" i="7"/>
  <c r="B8" i="7"/>
  <c r="D7" i="7"/>
  <c r="C7" i="7"/>
  <c r="B23" i="7" s="1"/>
  <c r="B7" i="7"/>
  <c r="D6" i="7"/>
  <c r="C6" i="7"/>
  <c r="B6" i="7"/>
  <c r="B20" i="6"/>
  <c r="B19" i="6"/>
  <c r="C16" i="6"/>
  <c r="B16" i="6"/>
  <c r="C15" i="6"/>
  <c r="B15" i="6"/>
  <c r="C14" i="6"/>
  <c r="B14" i="6"/>
  <c r="C11" i="6"/>
  <c r="B11" i="6"/>
  <c r="C10" i="6"/>
  <c r="B10" i="6"/>
  <c r="C9" i="6"/>
  <c r="B9" i="6"/>
  <c r="C8" i="6"/>
  <c r="B8" i="6"/>
  <c r="C7" i="6"/>
  <c r="B7" i="6"/>
  <c r="C6" i="6"/>
  <c r="B6" i="6"/>
  <c r="O51" i="4"/>
  <c r="N51" i="4"/>
  <c r="F51" i="4"/>
  <c r="O50" i="4"/>
  <c r="N50" i="4"/>
  <c r="F50" i="4"/>
  <c r="O49" i="4"/>
  <c r="N49" i="4"/>
  <c r="F49" i="4"/>
  <c r="O48" i="4"/>
  <c r="N48" i="4"/>
  <c r="F48" i="4"/>
  <c r="O47" i="4"/>
  <c r="N47" i="4"/>
  <c r="F47" i="4"/>
  <c r="O46" i="4"/>
  <c r="N46" i="4"/>
  <c r="F46" i="4"/>
  <c r="O45" i="4"/>
  <c r="N45" i="4"/>
  <c r="F45" i="4"/>
  <c r="O44" i="4"/>
  <c r="N44" i="4"/>
  <c r="F44" i="4"/>
  <c r="O43" i="4"/>
  <c r="N43" i="4"/>
  <c r="F43" i="4"/>
  <c r="O42" i="4"/>
  <c r="N42" i="4"/>
  <c r="F42" i="4"/>
  <c r="O41" i="4"/>
  <c r="N41" i="4"/>
  <c r="F41" i="4"/>
  <c r="O40" i="4"/>
  <c r="N40" i="4"/>
  <c r="F40" i="4"/>
  <c r="O39" i="4"/>
  <c r="N39" i="4"/>
  <c r="F39" i="4"/>
  <c r="O38" i="4"/>
  <c r="N38" i="4"/>
  <c r="F38" i="4"/>
  <c r="O37" i="4"/>
  <c r="N37" i="4"/>
  <c r="F37" i="4"/>
  <c r="O36" i="4"/>
  <c r="N36" i="4"/>
  <c r="F36" i="4"/>
  <c r="O35" i="4"/>
  <c r="N35" i="4"/>
  <c r="F35" i="4"/>
  <c r="O34" i="4"/>
  <c r="N34" i="4"/>
  <c r="F34" i="4"/>
  <c r="O33" i="4"/>
  <c r="N33" i="4"/>
  <c r="F33" i="4"/>
  <c r="O32" i="4"/>
  <c r="N32" i="4"/>
  <c r="F32" i="4"/>
  <c r="O31" i="4"/>
  <c r="N31" i="4"/>
  <c r="F31" i="4"/>
  <c r="O30" i="4"/>
  <c r="N30" i="4"/>
  <c r="F30" i="4"/>
  <c r="O29" i="4"/>
  <c r="N29" i="4"/>
  <c r="F29" i="4"/>
  <c r="O28" i="4"/>
  <c r="C38" i="7" s="1"/>
  <c r="N28" i="4"/>
  <c r="C31" i="7" s="1"/>
  <c r="F28" i="4"/>
  <c r="O27" i="4"/>
  <c r="N27" i="4"/>
  <c r="F27" i="4"/>
  <c r="O26" i="4"/>
  <c r="N26" i="4"/>
  <c r="F26" i="4"/>
  <c r="O25" i="4"/>
  <c r="N25" i="4"/>
  <c r="F25" i="4"/>
  <c r="O24" i="4"/>
  <c r="N24" i="4"/>
  <c r="F24" i="4"/>
  <c r="O23" i="4"/>
  <c r="N23" i="4"/>
  <c r="F23" i="4"/>
  <c r="O22" i="4"/>
  <c r="N22" i="4"/>
  <c r="F22" i="4"/>
  <c r="O21" i="4"/>
  <c r="C37" i="7" s="1"/>
  <c r="N21" i="4"/>
  <c r="C30" i="7" s="1"/>
  <c r="F21" i="4"/>
  <c r="O20" i="4"/>
  <c r="N20" i="4"/>
  <c r="F20" i="4"/>
  <c r="O19" i="4"/>
  <c r="N19" i="4"/>
  <c r="F19" i="4"/>
  <c r="O18" i="4"/>
  <c r="N18" i="4"/>
  <c r="F18" i="4"/>
  <c r="O17" i="4"/>
  <c r="N17" i="4"/>
  <c r="F17" i="4"/>
  <c r="O16" i="4"/>
  <c r="C36" i="7" s="1"/>
  <c r="N16" i="4"/>
  <c r="C29" i="7" s="1"/>
  <c r="F16" i="4"/>
  <c r="O15" i="4"/>
  <c r="N15" i="4"/>
  <c r="F15" i="4"/>
  <c r="O14" i="4"/>
  <c r="N14" i="4"/>
  <c r="F14" i="4"/>
  <c r="O13" i="4"/>
  <c r="N13" i="4"/>
  <c r="F13" i="4"/>
  <c r="O12" i="4"/>
  <c r="N12" i="4"/>
  <c r="F12" i="4"/>
  <c r="O11" i="4"/>
  <c r="N11" i="4"/>
  <c r="F11" i="4"/>
  <c r="O10" i="4"/>
  <c r="N10" i="4"/>
  <c r="F10" i="4"/>
  <c r="O9" i="4"/>
  <c r="N9" i="4"/>
  <c r="F9" i="4"/>
  <c r="O8" i="4"/>
  <c r="N8" i="4"/>
  <c r="F8" i="4"/>
  <c r="O7" i="4"/>
  <c r="N7" i="4"/>
  <c r="F7" i="4"/>
  <c r="O6" i="4"/>
  <c r="N6" i="4"/>
  <c r="F6" i="4"/>
  <c r="O5" i="4"/>
  <c r="N5" i="4"/>
  <c r="F5" i="4"/>
  <c r="O4" i="4"/>
  <c r="N4" i="4"/>
  <c r="F4" i="4"/>
  <c r="O3" i="4"/>
  <c r="N3" i="4"/>
  <c r="F3" i="4"/>
  <c r="O2" i="4"/>
  <c r="C35" i="7" s="1"/>
  <c r="N2" i="4"/>
  <c r="C3" i="7" s="1"/>
  <c r="F2" i="4"/>
  <c r="O51" i="2"/>
  <c r="N51" i="2"/>
  <c r="F51" i="2"/>
  <c r="O50" i="2"/>
  <c r="N50" i="2"/>
  <c r="F50" i="2"/>
  <c r="O49" i="2"/>
  <c r="N49" i="2"/>
  <c r="F49" i="2"/>
  <c r="O48" i="2"/>
  <c r="N48" i="2"/>
  <c r="F48" i="2"/>
  <c r="O47" i="2"/>
  <c r="N47" i="2"/>
  <c r="F47" i="2"/>
  <c r="O46" i="2"/>
  <c r="N46" i="2"/>
  <c r="F46" i="2"/>
  <c r="O45" i="2"/>
  <c r="N45" i="2"/>
  <c r="F45" i="2"/>
  <c r="O44" i="2"/>
  <c r="N44" i="2"/>
  <c r="F44" i="2"/>
  <c r="O43" i="2"/>
  <c r="N43" i="2"/>
  <c r="F43" i="2"/>
  <c r="O42" i="2"/>
  <c r="N42" i="2"/>
  <c r="F42" i="2"/>
  <c r="O41" i="2"/>
  <c r="N41" i="2"/>
  <c r="F41" i="2"/>
  <c r="O40" i="2"/>
  <c r="N40" i="2"/>
  <c r="F40" i="2"/>
  <c r="O39" i="2"/>
  <c r="N39" i="2"/>
  <c r="F39" i="2"/>
  <c r="O38" i="2"/>
  <c r="N38" i="2"/>
  <c r="F38" i="2"/>
  <c r="O37" i="2"/>
  <c r="N37" i="2"/>
  <c r="F37" i="2"/>
  <c r="O36" i="2"/>
  <c r="N36" i="2"/>
  <c r="F36" i="2"/>
  <c r="O35" i="2"/>
  <c r="N35" i="2"/>
  <c r="F35" i="2"/>
  <c r="O34" i="2"/>
  <c r="N34" i="2"/>
  <c r="F34" i="2"/>
  <c r="O33" i="2"/>
  <c r="N33" i="2"/>
  <c r="F33" i="2"/>
  <c r="O32" i="2"/>
  <c r="N32" i="2"/>
  <c r="F32" i="2"/>
  <c r="O31" i="2"/>
  <c r="N31" i="2"/>
  <c r="F31" i="2"/>
  <c r="O30" i="2"/>
  <c r="N30" i="2"/>
  <c r="F30" i="2"/>
  <c r="O29" i="2"/>
  <c r="N29" i="2"/>
  <c r="F29" i="2"/>
  <c r="O28" i="2"/>
  <c r="D38" i="7" s="1"/>
  <c r="N28" i="2"/>
  <c r="D31" i="7" s="1"/>
  <c r="F28" i="2"/>
  <c r="O27" i="2"/>
  <c r="N27" i="2"/>
  <c r="F27" i="2"/>
  <c r="O26" i="2"/>
  <c r="N26" i="2"/>
  <c r="F26" i="2"/>
  <c r="O25" i="2"/>
  <c r="N25" i="2"/>
  <c r="F25" i="2"/>
  <c r="O24" i="2"/>
  <c r="N24" i="2"/>
  <c r="F24" i="2"/>
  <c r="O23" i="2"/>
  <c r="N23" i="2"/>
  <c r="F23" i="2"/>
  <c r="O22" i="2"/>
  <c r="N22" i="2"/>
  <c r="F22" i="2"/>
  <c r="O21" i="2"/>
  <c r="E26" i="6" s="1"/>
  <c r="N21" i="2"/>
  <c r="C26" i="6" s="1"/>
  <c r="F21" i="2"/>
  <c r="O20" i="2"/>
  <c r="N20" i="2"/>
  <c r="F20" i="2"/>
  <c r="O19" i="2"/>
  <c r="N19" i="2"/>
  <c r="F19" i="2"/>
  <c r="O18" i="2"/>
  <c r="N18" i="2"/>
  <c r="F18" i="2"/>
  <c r="O17" i="2"/>
  <c r="N17" i="2"/>
  <c r="F17" i="2"/>
  <c r="O16" i="2"/>
  <c r="E25" i="6" s="1"/>
  <c r="N16" i="2"/>
  <c r="C25" i="6" s="1"/>
  <c r="F16" i="2"/>
  <c r="O15" i="2"/>
  <c r="N15" i="2"/>
  <c r="F15" i="2"/>
  <c r="O14" i="2"/>
  <c r="N14" i="2"/>
  <c r="F14" i="2"/>
  <c r="O13" i="2"/>
  <c r="N13" i="2"/>
  <c r="F13" i="2"/>
  <c r="O12" i="2"/>
  <c r="N12" i="2"/>
  <c r="F12" i="2"/>
  <c r="O11" i="2"/>
  <c r="N11" i="2"/>
  <c r="F11" i="2"/>
  <c r="O10" i="2"/>
  <c r="N10" i="2"/>
  <c r="F10" i="2"/>
  <c r="O9" i="2"/>
  <c r="N9" i="2"/>
  <c r="F9" i="2"/>
  <c r="O8" i="2"/>
  <c r="N8" i="2"/>
  <c r="F8" i="2"/>
  <c r="O7" i="2"/>
  <c r="N7" i="2"/>
  <c r="F7" i="2"/>
  <c r="O6" i="2"/>
  <c r="N6" i="2"/>
  <c r="F6" i="2"/>
  <c r="O5" i="2"/>
  <c r="N5" i="2"/>
  <c r="C3" i="6" s="1"/>
  <c r="F5" i="2"/>
  <c r="O4" i="2"/>
  <c r="C5" i="6" s="1"/>
  <c r="N4" i="2"/>
  <c r="F4" i="2"/>
  <c r="O3" i="2"/>
  <c r="N3" i="2"/>
  <c r="F3" i="2"/>
  <c r="O2" i="2"/>
  <c r="D35" i="7" s="1"/>
  <c r="N2" i="2"/>
  <c r="D3" i="7" s="1"/>
  <c r="B20" i="7" s="1"/>
  <c r="F2" i="2"/>
  <c r="O51" i="1"/>
  <c r="N51" i="1"/>
  <c r="F51" i="1"/>
  <c r="O50" i="1"/>
  <c r="N50" i="1"/>
  <c r="F50" i="1"/>
  <c r="O49" i="1"/>
  <c r="N49" i="1"/>
  <c r="F49" i="1"/>
  <c r="O48" i="1"/>
  <c r="N48" i="1"/>
  <c r="F48" i="1"/>
  <c r="O47" i="1"/>
  <c r="N47" i="1"/>
  <c r="F47" i="1"/>
  <c r="O46" i="1"/>
  <c r="N46" i="1"/>
  <c r="F46" i="1"/>
  <c r="O45" i="1"/>
  <c r="N45" i="1"/>
  <c r="F45" i="1"/>
  <c r="O44" i="1"/>
  <c r="N44" i="1"/>
  <c r="F44" i="1"/>
  <c r="O43" i="1"/>
  <c r="N43" i="1"/>
  <c r="F43" i="1"/>
  <c r="O42" i="1"/>
  <c r="N42" i="1"/>
  <c r="F42" i="1"/>
  <c r="O41" i="1"/>
  <c r="N41" i="1"/>
  <c r="F41" i="1"/>
  <c r="O40" i="1"/>
  <c r="N40" i="1"/>
  <c r="F40" i="1"/>
  <c r="O39" i="1"/>
  <c r="N39" i="1"/>
  <c r="F39" i="1"/>
  <c r="O38" i="1"/>
  <c r="N38" i="1"/>
  <c r="F38" i="1"/>
  <c r="O37" i="1"/>
  <c r="N37" i="1"/>
  <c r="F37" i="1"/>
  <c r="O36" i="1"/>
  <c r="N36" i="1"/>
  <c r="F36" i="1"/>
  <c r="O35" i="1"/>
  <c r="N35" i="1"/>
  <c r="F35" i="1"/>
  <c r="O34" i="1"/>
  <c r="N34" i="1"/>
  <c r="F34" i="1"/>
  <c r="O33" i="1"/>
  <c r="N33" i="1"/>
  <c r="F33" i="1"/>
  <c r="O32" i="1"/>
  <c r="N32" i="1"/>
  <c r="F32" i="1"/>
  <c r="O31" i="1"/>
  <c r="N31" i="1"/>
  <c r="F31" i="1"/>
  <c r="O30" i="1"/>
  <c r="N30" i="1"/>
  <c r="F30" i="1"/>
  <c r="O29" i="1"/>
  <c r="N29" i="1"/>
  <c r="F29" i="1"/>
  <c r="O28" i="1"/>
  <c r="D27" i="6" s="1"/>
  <c r="N28" i="1"/>
  <c r="B27" i="6" s="1"/>
  <c r="F28" i="1"/>
  <c r="O27" i="1"/>
  <c r="N27" i="1"/>
  <c r="F27" i="1"/>
  <c r="O26" i="1"/>
  <c r="N26" i="1"/>
  <c r="F26" i="1"/>
  <c r="O25" i="1"/>
  <c r="N25" i="1"/>
  <c r="F25" i="1"/>
  <c r="O24" i="1"/>
  <c r="N24" i="1"/>
  <c r="F24" i="1"/>
  <c r="O23" i="1"/>
  <c r="N23" i="1"/>
  <c r="F23" i="1"/>
  <c r="O22" i="1"/>
  <c r="N22" i="1"/>
  <c r="F22" i="1"/>
  <c r="O21" i="1"/>
  <c r="D26" i="6" s="1"/>
  <c r="N21" i="1"/>
  <c r="B26" i="6" s="1"/>
  <c r="F21" i="1"/>
  <c r="O20" i="1"/>
  <c r="N20" i="1"/>
  <c r="F20" i="1"/>
  <c r="O19" i="1"/>
  <c r="N19" i="1"/>
  <c r="F19" i="1"/>
  <c r="O18" i="1"/>
  <c r="N18" i="1"/>
  <c r="F18" i="1"/>
  <c r="O17" i="1"/>
  <c r="N17" i="1"/>
  <c r="F17" i="1"/>
  <c r="O16" i="1"/>
  <c r="D25" i="6" s="1"/>
  <c r="N16" i="1"/>
  <c r="B25" i="6" s="1"/>
  <c r="F16" i="1"/>
  <c r="O15" i="1"/>
  <c r="N15" i="1"/>
  <c r="F15" i="1"/>
  <c r="O14" i="1"/>
  <c r="N14" i="1"/>
  <c r="F14" i="1"/>
  <c r="O13" i="1"/>
  <c r="N13" i="1"/>
  <c r="F13" i="1"/>
  <c r="O12" i="1"/>
  <c r="N12" i="1"/>
  <c r="F12" i="1"/>
  <c r="O11" i="1"/>
  <c r="N11" i="1"/>
  <c r="F11" i="1"/>
  <c r="O10" i="1"/>
  <c r="N10" i="1"/>
  <c r="F10" i="1"/>
  <c r="O9" i="1"/>
  <c r="N9" i="1"/>
  <c r="F9" i="1"/>
  <c r="O8" i="1"/>
  <c r="N8" i="1"/>
  <c r="F8" i="1"/>
  <c r="O7" i="1"/>
  <c r="N7" i="1"/>
  <c r="B24" i="6" s="1"/>
  <c r="F7" i="1"/>
  <c r="O6" i="1"/>
  <c r="B4" i="6" s="1"/>
  <c r="N6" i="1"/>
  <c r="F6" i="1"/>
  <c r="O5" i="1"/>
  <c r="N5" i="1"/>
  <c r="F5" i="1"/>
  <c r="O4" i="1"/>
  <c r="N4" i="1"/>
  <c r="F4" i="1"/>
  <c r="O3" i="1"/>
  <c r="N3" i="1"/>
  <c r="F3" i="1"/>
  <c r="O2" i="1"/>
  <c r="N2" i="1"/>
  <c r="F2" i="1"/>
  <c r="O51" i="3"/>
  <c r="N51" i="3"/>
  <c r="F51" i="3"/>
  <c r="O50" i="3"/>
  <c r="N50" i="3"/>
  <c r="F50" i="3"/>
  <c r="O49" i="3"/>
  <c r="N49" i="3"/>
  <c r="F49" i="3"/>
  <c r="O48" i="3"/>
  <c r="N48" i="3"/>
  <c r="F48" i="3"/>
  <c r="O47" i="3"/>
  <c r="N47" i="3"/>
  <c r="F47" i="3"/>
  <c r="O46" i="3"/>
  <c r="N46" i="3"/>
  <c r="F46" i="3"/>
  <c r="O45" i="3"/>
  <c r="N45" i="3"/>
  <c r="F45" i="3"/>
  <c r="O44" i="3"/>
  <c r="N44" i="3"/>
  <c r="F44" i="3"/>
  <c r="O43" i="3"/>
  <c r="N43" i="3"/>
  <c r="F43" i="3"/>
  <c r="O42" i="3"/>
  <c r="N42" i="3"/>
  <c r="F42" i="3"/>
  <c r="O41" i="3"/>
  <c r="N41" i="3"/>
  <c r="F41" i="3"/>
  <c r="O40" i="3"/>
  <c r="N40" i="3"/>
  <c r="F40" i="3"/>
  <c r="O39" i="3"/>
  <c r="N39" i="3"/>
  <c r="F39" i="3"/>
  <c r="O38" i="3"/>
  <c r="N38" i="3"/>
  <c r="F38" i="3"/>
  <c r="O37" i="3"/>
  <c r="N37" i="3"/>
  <c r="F37" i="3"/>
  <c r="O36" i="3"/>
  <c r="N36" i="3"/>
  <c r="F36" i="3"/>
  <c r="O35" i="3"/>
  <c r="N35" i="3"/>
  <c r="F35" i="3"/>
  <c r="O34" i="3"/>
  <c r="N34" i="3"/>
  <c r="F34" i="3"/>
  <c r="O33" i="3"/>
  <c r="N33" i="3"/>
  <c r="F33" i="3"/>
  <c r="O32" i="3"/>
  <c r="N32" i="3"/>
  <c r="F32" i="3"/>
  <c r="O31" i="3"/>
  <c r="N31" i="3"/>
  <c r="F31" i="3"/>
  <c r="O30" i="3"/>
  <c r="N30" i="3"/>
  <c r="F30" i="3"/>
  <c r="O29" i="3"/>
  <c r="N29" i="3"/>
  <c r="F29" i="3"/>
  <c r="O28" i="3"/>
  <c r="B38" i="7" s="1"/>
  <c r="N28" i="3"/>
  <c r="B31" i="7" s="1"/>
  <c r="F28" i="3"/>
  <c r="O27" i="3"/>
  <c r="N27" i="3"/>
  <c r="F27" i="3"/>
  <c r="O26" i="3"/>
  <c r="N26" i="3"/>
  <c r="F26" i="3"/>
  <c r="O25" i="3"/>
  <c r="N25" i="3"/>
  <c r="F25" i="3"/>
  <c r="O24" i="3"/>
  <c r="N24" i="3"/>
  <c r="F24" i="3"/>
  <c r="O23" i="3"/>
  <c r="N23" i="3"/>
  <c r="F23" i="3"/>
  <c r="O22" i="3"/>
  <c r="N22" i="3"/>
  <c r="F22" i="3"/>
  <c r="O21" i="3"/>
  <c r="B37" i="7" s="1"/>
  <c r="N21" i="3"/>
  <c r="B30" i="7" s="1"/>
  <c r="F21" i="3"/>
  <c r="O20" i="3"/>
  <c r="N20" i="3"/>
  <c r="F20" i="3"/>
  <c r="O19" i="3"/>
  <c r="N19" i="3"/>
  <c r="F19" i="3"/>
  <c r="O18" i="3"/>
  <c r="N18" i="3"/>
  <c r="F18" i="3"/>
  <c r="O17" i="3"/>
  <c r="N17" i="3"/>
  <c r="F17" i="3"/>
  <c r="O16" i="3"/>
  <c r="B36" i="7" s="1"/>
  <c r="N16" i="3"/>
  <c r="B29" i="7" s="1"/>
  <c r="F16" i="3"/>
  <c r="O15" i="3"/>
  <c r="N15" i="3"/>
  <c r="F15" i="3"/>
  <c r="O14" i="3"/>
  <c r="N14" i="3"/>
  <c r="F14" i="3"/>
  <c r="O13" i="3"/>
  <c r="N13" i="3"/>
  <c r="F13" i="3"/>
  <c r="O12" i="3"/>
  <c r="N12" i="3"/>
  <c r="F12" i="3"/>
  <c r="O11" i="3"/>
  <c r="N11" i="3"/>
  <c r="F11" i="3"/>
  <c r="O10" i="3"/>
  <c r="N10" i="3"/>
  <c r="F10" i="3"/>
  <c r="O9" i="3"/>
  <c r="N9" i="3"/>
  <c r="F9" i="3"/>
  <c r="O8" i="3"/>
  <c r="N8" i="3"/>
  <c r="F8" i="3"/>
  <c r="O7" i="3"/>
  <c r="N7" i="3"/>
  <c r="F7" i="3"/>
  <c r="O6" i="3"/>
  <c r="N6" i="3"/>
  <c r="F6" i="3"/>
  <c r="O5" i="3"/>
  <c r="N5" i="3"/>
  <c r="F5" i="3"/>
  <c r="O4" i="3"/>
  <c r="N4" i="3"/>
  <c r="F4" i="3"/>
  <c r="O3" i="3"/>
  <c r="N3" i="3"/>
  <c r="F3" i="3"/>
  <c r="O2" i="3"/>
  <c r="B5" i="7" s="1"/>
  <c r="N2" i="3"/>
  <c r="B3" i="7" s="1"/>
  <c r="F2" i="3"/>
  <c r="B19" i="7" l="1"/>
  <c r="B28" i="7"/>
  <c r="B2" i="6"/>
  <c r="B4" i="7"/>
  <c r="C4" i="7"/>
  <c r="D4" i="7"/>
  <c r="C24" i="6"/>
  <c r="B5" i="6"/>
  <c r="C5" i="7"/>
  <c r="B21" i="7" s="1"/>
  <c r="D5" i="7"/>
  <c r="B22" i="7" s="1"/>
  <c r="C27" i="6"/>
  <c r="C28" i="7"/>
  <c r="E27" i="6"/>
  <c r="D28" i="7"/>
  <c r="B2" i="7"/>
  <c r="C2" i="7"/>
  <c r="D2" i="7"/>
  <c r="D29" i="7"/>
  <c r="D30" i="7"/>
  <c r="B35" i="7"/>
  <c r="D36" i="7"/>
  <c r="C4" i="6"/>
  <c r="D24" i="6"/>
  <c r="E24" i="6"/>
  <c r="D37" i="7"/>
  <c r="C2" i="6"/>
  <c r="B3" i="6"/>
</calcChain>
</file>

<file path=xl/sharedStrings.xml><?xml version="1.0" encoding="utf-8"?>
<sst xmlns="http://schemas.openxmlformats.org/spreadsheetml/2006/main" count="1778" uniqueCount="737">
  <si>
    <t>Problem</t>
  </si>
  <si>
    <t>Student</t>
  </si>
  <si>
    <t>Attempt</t>
  </si>
  <si>
    <t>Status_Original</t>
  </si>
  <si>
    <t>Codigo_Aluno</t>
  </si>
  <si>
    <t>Gemini_is_correct</t>
  </si>
  <si>
    <t>Gemini_linha_erro</t>
  </si>
  <si>
    <t>Gemini_tipo_erro</t>
  </si>
  <si>
    <t>Gemini_feedback_formativo</t>
  </si>
  <si>
    <t>Gemini_dica_acao</t>
  </si>
  <si>
    <t>Gold_tipo_erro</t>
  </si>
  <si>
    <t>Gold_linha_erro</t>
  </si>
  <si>
    <t>Gold_descricao_correcao</t>
  </si>
  <si>
    <t>Diagnostico_Correto</t>
  </si>
  <si>
    <t>Linha_Correta</t>
  </si>
  <si>
    <t>Nao_Revela_Solucao_1a5</t>
  </si>
  <si>
    <t>Foco_Unico_Erro_1a5</t>
  </si>
  <si>
    <t>Qualidade_Socratica_1a5</t>
  </si>
  <si>
    <t>Clareza_1a5</t>
  </si>
  <si>
    <t>Tom_Motivacional_1a5</t>
  </si>
  <si>
    <t>Comentarios</t>
  </si>
  <si>
    <t>Runtime error</t>
  </si>
  <si>
    <t>#include &lt;stdio.h&gt;
X, Y = map(int, input().split())
soma = 0
for c in range(X, Y)
    if c % 13 != 0:
        soma += c
print(soma)</t>
  </si>
  <si>
    <t>Sintaxe</t>
  </si>
  <si>
    <t>O Python não conseguiu entender a estrutura do seu laço de repetição na linha 6 e interrompeu a execução por um erro de sintaxe.</t>
  </si>
  <si>
    <t>Observe atentamente o final da instrução do laço 'for' na linha 6. Qual caractere o Python exige ao final da linha de cabeçalho para sinalizar o início de um bloco de código?</t>
  </si>
  <si>
    <t>Falta ':' no final do for (linha 6).</t>
  </si>
  <si>
    <t>#include &lt;stdio.h&gt;
X, Y = map(int, input().split())
soma = 0
for c in range(X, Y + 1)
    if c % 13 != 0:
        soma += c
print(soma)</t>
  </si>
  <si>
    <t>O Python não conseguiu entender a estrutura da linha 6 e interrompeu a execução antes mesmo de processar os dados.</t>
  </si>
  <si>
    <t>Observe com atenção a estrutura do seu laço 'for' na linha 6. Qual sinal de pontuação o Python exige ao final da linha que define uma estrutura de repetição?</t>
  </si>
  <si>
    <t>Wrong answer (100%)</t>
  </si>
  <si>
    <t>#include &lt;stdio.h&gt;
X = int(input())
Y = int(input())
soma = 0
for c in range(X, Y+1):
  if c % 13 != 0:
    soma += c
print(soma)</t>
  </si>
  <si>
    <t>Lógica</t>
  </si>
  <si>
    <t>Seu código funciona perfeitamente quando os valores são informados em ordem crescente. Contudo, a lógica tropeça quando o primeiro valor lido é maior que o segundo.</t>
  </si>
  <si>
    <t>O que o seu código produz se a entrada for X = 200 e Y = 100? O que acontece com o intervalo `range(X, Y+1)` nesse caso?</t>
  </si>
  <si>
    <t>Não trata X &gt; Y: para 200/100 imprime 0 em vez de 13954.</t>
  </si>
  <si>
    <t>#include &lt;stdio.h&gt;
X, Y= map(int. input())
soma = 0
for c in range(X, Y+1):
    if c % 13 != 0:
        soma += c
print(soma)</t>
  </si>
  <si>
    <t>Seu código não conseguiu ser executado pelo Python por conta de uma inconsistência na sintaxe na hora de receber os dados de entrada.</t>
  </si>
  <si>
    <t>Observe com atenção a linha 3, especificamente o trecho 'int. input()'. Como as funções e seus argumentos devem ser separados dentro dos parênteses no Python?</t>
  </si>
  <si>
    <t>Execução</t>
  </si>
  <si>
    <t>'int. input()' com ponto: gera AttributeError em tempo de execução (não é sintaxe).</t>
  </si>
  <si>
    <t>DIVERGÊNCIA DE TIPO: Gemini classificou Sintaxe, mas 'int.input()' é sintaticamente válido e falha em runtime (AttributeError) -&gt; gold Execução. Caso limítrofe, vale revisar.</t>
  </si>
  <si>
    <t>#include &lt;stdio.h&gt;
X, Y= map(int. input().split())
soma = 0
for c in range(X, Y+1):
    if c % 13 != 0:
        soma += c
print(soma)</t>
  </si>
  <si>
    <t>O interpretador Python encontrou um erro de sintaxe ao tentar processar a linha onde as entradas são lidas.</t>
  </si>
  <si>
    <t>Observe atentamente a linha 3, em especial dentro da função `map(...)`. Como costumamos separar diferentes argumentos passados para uma função em Python?</t>
  </si>
  <si>
    <t>DIVERGÊNCIA DE TIPO: mesma situação da linha 5 (Sintaxe x Execução).</t>
  </si>
  <si>
    <t>#include &lt;stdio.h&gt;
X, Y= map(int, input().split())
soma = 0
for c in range(X, Y+1):
    if c % 13 != 0:
        soma += c
print(soma)</t>
  </si>
  <si>
    <t>Seu código interrompe a execução logo no início ao tentar processar as entradas.</t>
  </si>
  <si>
    <t>Considerando que o primeiro valor (ex: 100) é digitado em uma linha e o segundo valor (ex: 200) é digitado na linha seguinte, o que a função `input().split()` retorna na primeira leitura?</t>
  </si>
  <si>
    <t>input().split() lê 1 linha, mas a entrada tem X e Y em linhas separadas -&gt; ValueError.</t>
  </si>
  <si>
    <t>[RASCUNHO/juiz] Gemini diagnosticou Lógica(X&gt;Y); Gold sugere formato de entrada (Execução) -- verificar diagnóstico.</t>
  </si>
  <si>
    <t>#include &lt;stdio.h&gt;
X = int(input())
Y= int(input())
soma = 0
for c in range(X, Y+1):
    if c % 13 != 0:
        soma += c
print(soma)</t>
  </si>
  <si>
    <t>Seu código funciona muito bem quando o primeiro número é menor que o segundo! Porém, há uma situação específica de entrada em que o laço de repetição não chega a executar.</t>
  </si>
  <si>
    <t>Simule a execução do seu programa no papel quando a entrada for X = 200 e Y = 100. O que a instrução range(X, Y+1) gera nesse caso?</t>
  </si>
  <si>
    <t>Não trata X &gt; Y: para 200/100 o range fica vazio e a soma sai errada.</t>
  </si>
  <si>
    <t>Accepted</t>
  </si>
  <si>
    <t>#include &lt;stdio.h&gt;
X = int(input())
Y = int(input())
if X &gt; Y:
    X, Y = Y, X
soma = 0
for c in range(X, Y+1):
    if c % 13 != 0:
        soma += c
print(soma)</t>
  </si>
  <si>
    <t>-</t>
  </si>
  <si>
    <t>Nenhum (código correto)</t>
  </si>
  <si>
    <t>Excelente trabalho! Seu programa atende perfeitamente a todos os requisitos do problema e trata corretamente todas as situações, inclusive quando o primeiro valor é maior que o segundo.</t>
  </si>
  <si>
    <t>Seu código está correto e pronto! Que tal tentar resolver o próximo desafio?</t>
  </si>
  <si>
    <t>Passou 10/10 casos de teste.</t>
  </si>
  <si>
    <t>Código correto: dica não é socrática, apenas encerra.</t>
  </si>
  <si>
    <t xml:space="preserve">x = int(input())
y = int(input())
naoDivisiveisPor13 = []
for numero in rage(x, y + 1):
    if numero % 13 != 0:
      naoDivisiveisPor13.append(numero)
soma = sum(naoDivisiveisPor13)
print('{}'.format(soma))
</t>
  </si>
  <si>
    <t>Seu código interrompe a execução logo no início da repetição por não reconhecer uma das funções utilizadas.</t>
  </si>
  <si>
    <t>Observe atentamente o nome da função que você chamou na linha 6 para gerar o intervalo numérico. O Python reconheceu esse nome exatamente como foi digitado?</t>
  </si>
  <si>
    <t>'rage' em vez de 'range' (NameError) na linha 6.</t>
  </si>
  <si>
    <t>x = int(input())
y = int(input())
naoDivisiveisPor13 = []
for numero in range(x, y + 1):
    if numero % 13 != 0:
      naoDivisiveisPor13.append(numero)
soma = sum(naoDivisiveisPor13)
print('{}'.format(soma))</t>
  </si>
  <si>
    <t>Seu código funciona muito bem quando o primeiro número lido é menor que o segundo. No entanto, o problema não garante a ordem de entrada dos valores.</t>
  </si>
  <si>
    <t>Simule a execução do seu programa quando a entrada for X = 200 e Y = 100. O que a função range(200, 101) produz e quantas vezes seu laço 'for' é executado?</t>
  </si>
  <si>
    <t>Não trata X &gt; Y (range(200,101) vazio).</t>
  </si>
  <si>
    <t>x = int(input())
y = int(input())
naoDivisiveisPor13 = []
for numero in range(x, y + 1):
    if numero % 13 != 0:
      naoDivisiveisPor13.append(numero)
soma = sum(naoDivisiveisPor13)
print(soma)</t>
  </si>
  <si>
    <t>Seu código funciona perfeitamente quando o primeiro número digitado é menor ou igual ao segundo. Contudo, em alguns cenários de entrada, o laço de repetição não chega a executar nenhuma vez.</t>
  </si>
  <si>
    <t>O que acontece na linha 6 se a entrada for X = 200 e Y = 100? Como a função range(200, 101) se comporta e qual seria a saída do seu programa nesse caso?</t>
  </si>
  <si>
    <t>x = int(input())
y = int(input())
if x &gt; y:
    x, y = y, x
soma = 0
for numero in range(x, y + 1):
    if numero % 13 != 0:
        soma += numero
print(soma)</t>
  </si>
  <si>
    <t>Parabéns! Seu código está muito bem estruturado e resolveu o problema perfeitamente.</t>
  </si>
  <si>
    <t>Sua solução passou em todos os casos de teste! Continue assim nos próximos exercícios.</t>
  </si>
  <si>
    <t>Código correto.</t>
  </si>
  <si>
    <t>X = int(input())
Y = int(input())
def naom13(X, Y):
    if X &gt; Y:
        X, Y = Y, X
    soma = 0
    for c in range(X, Y + 1):
        if c % 13 != 0:
            soma += c
    return soma
resultado = naom13(X, Y)
print(f'{resultado}')</t>
  </si>
  <si>
    <t>Excelente trabalho! Seu código está muito bem estruturado, lidou perfeitamente com a troca de variáveis quando X &gt; Y e tratou corretamente o intervalo inclusivo e os múltiplos de 13.</t>
  </si>
  <si>
    <t>Parabéns por resolver o problema! Que tal tentar resolver este mesmo exercício sem criar uma função auxiliar ou utilizando a função sum com uma 'generator expression'?</t>
  </si>
  <si>
    <t>Passa 10/10 em Python 3. (BeeCrowd deu Runtime error por f-string em Python antigo — problema de ambiente, não do código.)</t>
  </si>
  <si>
    <t>Código correto. BeeCrowd deu Runtime (f-string/ambiente); Gemini e gold concordam que o código está certo em Python 3.</t>
  </si>
  <si>
    <t>X = int(input())
Y = int(input())
def naom13(X, Y):
    if X &gt; Y:
        X, Y = Y, X
    soma = 0
    for c in range(X, Y + 1):
        if c % 13 != 0:
            soma += c
    return soma
resultado = naom13(X, Y)
print('{}'.format(resultado))</t>
  </si>
  <si>
    <t>Excelente trabalho! Sua lógica para inverter os valores quando X &gt; Y e a condição para ignorar os múltiplos de 13 funcionaram perfeitamente em todos os cenários.</t>
  </si>
  <si>
    <t>Para continuar praticando: como você poderia reescrever esse código sem a necessidade de definir uma função explicitamente, mantendo a mesma corretude?</t>
  </si>
  <si>
    <t>N = int(input())
if 0 &lt; N &lt; 13:
    valorNovo = 1
    for c in range(1, N + 1):
        valorNovo *= c
    print(valorNovo)
else:
    print("O valor de N deve estar no intervalo 0 &lt; N &lt; 13.")</t>
  </si>
  <si>
    <t>Excelente trabalho! Sua lógica para a verificação do intervalo e o cálculo do fatorial com o laço de repetição está totalmente correta e atende a todos os casos de teste.</t>
  </si>
  <si>
    <t>Como desafio adicional para expandir seu conhecimento: o que aconteceria com a execução do seu programa se a entrada fosse N = 0 e o problema exigisse que 0! = 1?</t>
  </si>
  <si>
    <t>Passou 6/6 casos de teste (0! não é testado: enunciado real garante 0 &lt; N).</t>
  </si>
  <si>
    <t>Boa recuperação: nesta rodada o 0! aparece como desafio hipotético ('se o problema exigisse'), não como erro. Diagnóstico bate com o gold.</t>
  </si>
  <si>
    <t>n = int(input())
if 0 &lt; n &lt; 13:
    resultadoFatorial = 1
for i in range(1, n + 1):
    resultadoFatorial *= 1
print(resultadoFatorial)</t>
  </si>
  <si>
    <t>Seu código roda sem erros de execução, mas a variável que deveria calcular o fatorial permanece com o mesmo valor a cada repetição do laço.</t>
  </si>
  <si>
    <t>Tente fazer um teste de mesa no papel para a entrada N = 4: a cada repetição do laço 'for', qual é o valor da variável 'i' e o que exatamente está acontecendo com 'resultadoFatorial' na linha 7?</t>
  </si>
  <si>
    <t>'resultadoFatorial *= 1' deveria multiplicar por i: resultado fica sempre 1.</t>
  </si>
  <si>
    <t>Excelente teste de mesa socrático.</t>
  </si>
  <si>
    <t>n = int(input())
if 0 &lt; n &lt; 13:
    resultadoFatorial = 1
while n &gt; 1
    resultadoFatorial *= n
    n -= 1
print(resultadoFatorial)</t>
  </si>
  <si>
    <t>O Python não conseguiu entender a declaração da sua estrutura de repetição na linha 6. Existe um detalhe de sintaxe ausente na linha do laço que impede o código de ser executado.</t>
  </si>
  <si>
    <t>Observe atentamente como você finalizou a instrução da linha 3 (`if`) e compare com a instrução da linha 6 (`while`). Qual sinal de pontuação é exigido pelo Python ao final da linha do cabeçalho dessas estruturas?</t>
  </si>
  <si>
    <t>Falta ':' no final do while (linha 6).</t>
  </si>
  <si>
    <t>N = int(input())
if 0 &lt; N &lt; 13:
    resultado_fatorial = 1
    for i in range(2, N + 1):
        resultado_fatorial *= i
    print(resultado_fatorial)
else:
    print("Por favor, insira um valor válido para N.")</t>
  </si>
  <si>
    <t>Excelente trabalho! Sua lógica para calcular o fatorial está perfeita e cobriu adequadamente o limite do problema.</t>
  </si>
  <si>
    <t>Que tal tentar resolver este mesmo problema utilizando recursão para praticar um conceito diferente?</t>
  </si>
  <si>
    <t>Passou 6/6 casos de teste.</t>
  </si>
  <si>
    <t>N = int(input())
fatorial = 1
for c in range(N, 0, -1):
    fatorial *= c
print('{}'.format(fatorial))</t>
  </si>
  <si>
    <t>Excelente trabalho! Seu código calculou corretamente o fatorial para todos os casos de teste propostos.</t>
  </si>
  <si>
    <t>Que tal testar mentalmente seu código com N = 0 para ver como o laço range se comporta nesse cenário limite?</t>
  </si>
  <si>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</si>
  <si>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O interpretador Python interrompeu a análise do seu código antes mesmo da execução por conta de um detalhe estrutural na linha 16.</t>
  </si>
  <si>
    <t>Observe atentamente os símbolos na linha 16: se você contar quantos parênteses foram abertos nessa instrução, quantos você encontra fechados na mesma linha?</t>
  </si>
  <si>
    <t>Parêntese aberto e não fechado no print (linha 16).</t>
  </si>
  <si>
    <t>Wrong answer (5%)</t>
  </si>
  <si>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</si>
  <si>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A sua estrutura condicional e a lógica do jogo estão perfeitas! Porém, a primeira linha de entrada está fazendo o seu programa exibir um texto que não deveria aparecer na saída final.</t>
  </si>
  <si>
    <t>O que acontece com a tela ou saída padrão do Python quando passamos um texto entre aspas dentro da função input()?</t>
  </si>
  <si>
    <t>input() com texto de prompt imprime o prompt na saída, quebrando a correção.</t>
  </si>
  <si>
    <t># -*- coding: utf-8 -*-
T = int(input())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</si>
  <si>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Parabéns! Sua lógica está impecável e cobre todas as regras e combinações do jogo perfeitamente.</t>
  </si>
  <si>
    <t>Como desafio para reflexão: você sabia que pode usar uma estrutura de dados como dicionário para mapear o que cada escolha vence, deixando o código mais enxuto?</t>
  </si>
  <si>
    <t>Passou 4/4 casos de teste.</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</si>
  <si>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</si>
  <si>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O Python não conseguiu começar a executar seu código devido a um problema no alinhamento das instruções (indentação) dentro do laço de repetição.</t>
  </si>
  <si>
    <t>Observe o início da linha 7 e compare o alinhamento dela com a instrução da linha 5. Os comandos dentro do mesmo bloco estão com a mesma quantidade de espaços?</t>
  </si>
  <si>
    <t>Indentação inconsistente (linha 7): IndentationError.</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</si>
  <si>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</si>
  <si>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Notei que quando o programa recebe múltiplos casos de teste, ele lê todas as entradas de uma vez, mas não exibe uma resposta para cada rodada.</t>
  </si>
  <si>
    <t>Experimente simular o seu código no papel para o Caso 1 (onde N = 3). Quantas vezes a instrução 'print' é executada enquanto o laço 'for' está rodando?</t>
  </si>
  <si>
    <t>print fora do for: só imprime o último caso.</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</si>
  <si>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</si>
  <si>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Excelente trabalho! O seu código passou em todos os casos de teste e implementou a lógica do jogo perfeitamente.</t>
  </si>
  <si>
    <t>Como seu código está correto, que tal pensar em como simplificar essa grande estrutura de condicionais usando dicionários em Python?</t>
  </si>
  <si>
    <t>def vence(sheldon, rajesh):
    regras = {
        'tesoura': ['papel', 'lagarto'],
        'papel': ['pedra', 'Spock'],
        'pedra': ['lagarto', 'tesoura'],
        'lagarto': ['Spock', 'papel'],
        'Spock': ['tesoura', 'pedra']
    }
    if sheldon == rajesh:
        return 'De novo!'
    elif rajesh in regras[sheldon]:
        return 'Bazinga!'
    else:
        return 'Raj trapaceou!'
T = int(input())
for caso in range(1, T+1):
    sheldon, rajesh = input().split()
    resultado = vence(sheldon, rajesh)
    print('Caso #{}: {}'.format(caso, resultado))</t>
  </si>
  <si>
    <t>Excelente trabalho! Seu código está muito bem estruturado, a lógica das regras com dicionário ficou limpa e legível, e passou em todos os casos de teste.</t>
  </si>
  <si>
    <t>Que tal tentar resolver o problema com outra estrutura de dados ou criar novos casos de teste para praticar?</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</si>
  <si>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</si>
  <si>
    <t>O interpretador Python não conseguiu executar o programa porque encontrou uma falha na sintaxe do seu comando condicional.</t>
  </si>
  <si>
    <t>Compare a linha 8 (onde você escreveu o `if`) com a linha 14 (onde termina o seu `elif`). Qual símbolo o Python exige ao final de uma linha de condição para iniciar o bloco de código?</t>
  </si>
  <si>
    <t>Falta ':' no final do elif (linha 13).</t>
  </si>
  <si>
    <t>Wrong answer (25%)</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</si>
  <si>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</si>
  <si>
    <t>Seu código roda do início ao fim sem erros de execução, mas a lógica de atribuição das escolhas aos jogadores não reflete a ordem indicada no enunciado.</t>
  </si>
  <si>
    <t>Simule seu código com a entrada 'pedra tesoura'. Ao executar a linha de leitura das variáveis, qual valor é armazenado em 'sheldon' e qual fica em 'rajesh'? Essa atribuição coincide com a ordem em que as escolhas foram feitas no enunciado?</t>
  </si>
  <si>
    <t>Ordem de leitura trocada: inverte rajesh/sheldon.</t>
  </si>
  <si>
    <t>[RASCUNHO/juiz] Diagnóstico específico duvidoso (foca capitalização; Gold indica ordem de leitura) -- mesmo tipo (Lógica).</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</si>
  <si>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print('sheldon')</t>
  </si>
  <si>
    <t>O seu código tem a estrutura lógica das regras muito bem organizada, mas há um detalhe na mensagem impressa quando a rodada atende às condições do segundo 'elif'.</t>
  </si>
  <si>
    <t>Quando as condições do último 'elif' (onde são testadas as jogadas do Rajesh) são verdadeiras, qual é o texto exato que o seu programa imprime na tela?</t>
  </si>
  <si>
    <t>Imprime o nome errado no segundo elif (copia-e-cola).</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</si>
  <si>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print('rajesh')</t>
  </si>
  <si>
    <t>Seu código executa sem erros e a lógica do jogo está muito bem estruturada! No entanto, a forma como as jogadas estão sendo associadas a cada jogador não corresponde à ordem descrita no enunciado.</t>
  </si>
  <si>
    <t>Se a entrada for 'pedra tesoura', qual valor a variável `sheldon` recebe e qual valor a variável `rajesh` recebe na linha 6? O que o seu código imprime ao processar essa entrada?</t>
  </si>
  <si>
    <t>Ordem de leitura trocada entre os jogadores.</t>
  </si>
  <si>
    <t># -*- coding: utf-8 -*-
C = int(input())
for c in range(C):
  rajesh = str(input())
  sheldon = str(input())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</si>
  <si>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Seu código interrompe a execução com um erro antes de conseguir processar todos os casos de teste. Isso acontece porque a forma de ler as entradas está consumindo as linhas mais rápido do que o esperado.</t>
  </si>
  <si>
    <t>Considere o Caso 1, onde a primeira linha após o número 6 é 'pedra tesoura'. Se você executar apenas a linha 'rajesh = str(input())', qual texto exato fica guardado na variável 'rajesh'?</t>
  </si>
  <si>
    <t>Duas chamadas input() separadas: consome as linhas na ordem errada -&gt; EOFError.</t>
  </si>
  <si>
    <t>[RASCUNHO/juiz] Diagnóstico coerente com Gold (leitura de entrada); tipo marcado Lógica vs Execução.</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</si>
  <si>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</si>
  <si>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O interpretador Python encontrou um problema de sintaxe logo no início da leitura dos dados e não conseguiu executar o seu programa.</t>
  </si>
  <si>
    <t>Examine atentamente a linha 6. Se você contar cada parêntese aberto '(' e cada parêntese fechado ')', o que você nota sobre a quantidade deles?</t>
  </si>
  <si>
    <t>Parêntese aberto e não fechado em map() (linha 6).</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</si>
  <si>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</si>
  <si>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O Python não conseguiu nem começar a executar o seu programa porque encontrou um problema de estrutura/sintaxe logo na leitura dos dados.</t>
  </si>
  <si>
    <t>Examine atentamente a linha 6. Se você contar a quantidade de parênteses abertos '(' e parênteses fechados ')', o que você nota?</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</si>
  <si>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</si>
  <si>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Parabéns! Seu código está muito bem estruturado e passou em todos os casos de teste com sucesso.</t>
  </si>
  <si>
    <t>Como desafio adicional para praticar, você saberia como simplificar essas várias condições 'and'/'or' utilizando uma estrutura de dados como dicionário ou listas?</t>
  </si>
  <si>
    <t>Código correto (confirmado por 4/4 casos de teste).</t>
  </si>
  <si>
    <t>C = int(input())
regras = {
    "tesoura": ["papel", "lagarto"],
    "papel": ["pedra", "Spock"],
    "pedra": ["lagarto", "tesoura"],
    "lagarto": ["Spock", "papel"],
    "Spock": ["tesoura", "pedra"]
}
de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</si>
  <si>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O Python encontrou um problema ao tentar entender a criação da sua função na linha 11, impedindo o programa de ser executado.</t>
  </si>
  <si>
    <t>Observe atentamente a palavra que você utilizou para iniciar a definição da função 'determinar_vencedor' na linha 11. Ela está escrita exatamente como o Python exige para declarar funções?</t>
  </si>
  <si>
    <t>'de' em vez de 'def' (linha 11): SyntaxError.</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</si>
  <si>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prit(resultado)</t>
  </si>
  <si>
    <t>Ao tentar executar seu código, o Python interrompe o programa na linha 24 com uma mensagem informando que um comando não foi reconhecido.</t>
  </si>
  <si>
    <t>Examine a linha 24: o nome do comando que você utilizou para exibir o resultado é reconhecido pelo Python?</t>
  </si>
  <si>
    <t>'prit' em vez de 'print' (linha 24): NameError.</t>
  </si>
  <si>
    <t>Wrong answer (10%)</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</si>
  <si>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</si>
  <si>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Seu programa é interrompido por um erro durante a execução ao tentar consultar o dicionário para algumas entradas.</t>
  </si>
  <si>
    <t>O que acontece se você simular a chamada `determinar_vencedor('spock', 'tesoura')`? Observe atentamente como as palavras chegam na entrada e como as chaves do dicionário `regras` foram cadastradas.</t>
  </si>
  <si>
    <t>Chave 'Spock' (maiúscula) no dicionário não bate com 'spock' da entrada -&gt; KeyError.</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</si>
  <si>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</si>
  <si>
    <t>Seu código é bem estruturado, mas a execução é interrompida por um erro inesperado em rodadas nas quais um dos jogadores escolhe 'spock'.</t>
  </si>
  <si>
    <t>O que acontece no Python quando o seu código executa a função determinar_vencedor('spock', 'tesoura') e tenta acessar a chave 'spock' no dicionário regras?</t>
  </si>
  <si>
    <t>Mesmo KeyError de capitalização de 'spock' no dicionário.</t>
  </si>
  <si>
    <t>Seu código está bem estruturado, mas a execução interrompe com um erro ao tentar consultar as regras para certas entradas de teste.</t>
  </si>
  <si>
    <t>O que acontece ao tentar executar a função `determinar_vencedor('spock', 'tesoura')`? Como o dicionário `regras` reage a essa busca?</t>
  </si>
  <si>
    <t>Ao processar determinadas jogadas, o seu programa interrompe a execução com um erro de chave (KeyError) antes de conseguir responder.</t>
  </si>
  <si>
    <t>O que acontece ao rodar seu programa com a entrada 'spock tesoura'? Acompanhe o valor da variável 'escolha_raj' após a chamada de .lower() e verifique como ela é utilizada na linha 14 para consultar o dicionário 'regras'.</t>
  </si>
  <si>
    <t>[RASCUNHO/juiz] Simulação socrática bem detalhada.</t>
  </si>
  <si>
    <t>O seu código interrompe a execução com um erro de chave (KeyError) ao tentar consultar o dicionário 'regras' para determinadas entradas.</t>
  </si>
  <si>
    <t>O que acontece ao executar a função 'determinar_vencedor' passando 'spock' (em minúsculo) como primeiro argumento, considerando a forma como as chaves do dicionário 'regras' foram escritas?</t>
  </si>
  <si>
    <t>[RASCUNHO] Casos 3-7 (aluno 2): mesma causa raiz persistindo -- bom exemplo para checar se o Gemini identifica o erro repetido de forma consistente. [RASCUNHO] Casos 3-7 (aluno 2): mesma causa raiz persistindo -- bom exemplo para checar se o Gemini identifica o erro repetido de forma consistente.</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</si>
  <si>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</si>
  <si>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Seu código possui uma estrutura lógica muito boa, mas interrompe a execução com um erro ao tentar consultar as regras para uma das jogadas específicas.</t>
  </si>
  <si>
    <t>O que acontece ao rodar seu código com a entrada 'spock tesoura'? Verifique atentamente como o nome de cada jogada foi escrito nas chaves do dicionário 'regras'.</t>
  </si>
  <si>
    <t>Chave 'Spock' (maiúscula, linha 8) não bate com 'spock' da entrada -&gt; KeyError. BeeCrowd deu Accepted mas o código quebra: bug real não coberto pelo juiz.</t>
  </si>
  <si>
    <t>VERDADEIRO POSITIVO confirmado pelos casos de teste: BeeCrowd deu Accepted, mas o código quebra com 'spock' minúsculo (KeyError). Gemini acertou onde o juiz falhou.</t>
  </si>
  <si>
    <t>def vence(rajesh, sheldon):
    regras = {
        'tesoura': ['papel', 'lagarto'],
        'papel': ['pedra', 'spock'],
        'pedra': ['lagarto', 'tesoura'],
        'lagarto': ['spock', 'papel'],
        'spock': ['tesoura', 'pedra']
    }
    if rajesh == sheldon:
        return "empate"
    elif sheldon in regras[rajesh]:
        return "rajesh"
    else:
        return "sheldon"
C = int(input())
for _ in range(C):
    rajesh, sheldon = input().split()
    resultado = vence(rajesh, sheldon)
    print(resultado)</t>
  </si>
  <si>
    <t>Excelente trabalho! Sua lógica utilizando um dicionário para mapear as vitórias ficou muito limpa e eficiente, passando em todos os testes.</t>
  </si>
  <si>
    <t>Como desafio adicional de boas práticas: percebeu que o dicionário `regras` é recriado a cada chamada da função? Como você moveria esse dicionário para fora da função para evitar recriá-lo várias vezes?</t>
  </si>
  <si>
    <t>x = int(input())
y = int(input())
if x &gt; y:
    x, y = y, x
soma = 0
for i in range(x, y + 1):
    if i % 13 == 0:
        soma += i
print(soma)</t>
  </si>
  <si>
    <t>Seu programa executa sem erros e lida muito bem com a ordenação dos valores de entrada! No entanto, a condição que decide se um número deve ser somado não está selecionando os números corretos requeridos no problema.</t>
  </si>
  <si>
    <t>Se você executar seu código para as entradas X = 1 e Y = 12, quais números satisfazem a condição 'if i % 13 == 0' e acabam sendo somados?</t>
  </si>
  <si>
    <t>Condição invertida ('% 13 == 0'): soma justamente os múltiplos de 13.</t>
  </si>
  <si>
    <t>[RASCUNHO] Caso Sintético (Caso 44)</t>
  </si>
  <si>
    <t>Syntax error</t>
  </si>
  <si>
    <t>x = int(input())
y = int(input())
if x &gt; y
    x, y = y, x
soma = 0
for i in range(x, y + 1):
    if i % 13 != 0:
        soma += i
print(soma)</t>
  </si>
  <si>
    <t>O interpretador Python não conseguiu iniciar a execução do seu programa devido a uma falha na estrutura sintática de uma condição.</t>
  </si>
  <si>
    <t>Observe com atenção a linha 4 e compare a estrutura dela com a instrução 'if' que você escreveu na linha 9. O que está presente na linha 9 ao final da condição que não foi colocado na linha 4?</t>
  </si>
  <si>
    <t>Falta ':' no final da condição (linha 4).</t>
  </si>
  <si>
    <t>[RASCUNHO] Caso Sintético (Caso 45)</t>
  </si>
  <si>
    <t>n = int(input())
fatorial = 0
for i in range(1, n + 1):
    fatorial *= i
print(fatorial)</t>
  </si>
  <si>
    <t>Seu código executa perfeitamente sem erros de sintaxe, mas o valor exibido ao final não está correto.</t>
  </si>
  <si>
    <t>Tente fazer o teste de mesa no papel para a entrada 4: qual é o valor da variável 'fatorial' logo antes do laço e qual valor ela assume após a primeira iteração (quando i = 1)?</t>
  </si>
  <si>
    <t>'fatorial' inicializado como 0: multiplicação zera tudo, resultado sempre 0.</t>
  </si>
  <si>
    <t>[RASCUNHO] Caso Sintético (Caso 46)</t>
  </si>
  <si>
    <t>n = int(input())
fat = 1
for i in range(1, n):
    fat *= i
print(fat)</t>
  </si>
  <si>
    <t>Seu código executa perfeitamente sem erros de sintaxe, porém o cálculo do fatorial não está considerando todos os fatores necessários para chegar ao resultado correto.</t>
  </si>
  <si>
    <t>Simule o seu código no papel para a entrada `n = 4`: quais são todos os valores que a variável `i` assume dentro da repetição?</t>
  </si>
  <si>
    <t>range do fatorial não cobre todos os fatores: resultado menor que o correto.</t>
  </si>
  <si>
    <t>[RASCUNHO] Caso Sintético (Caso 47)</t>
  </si>
  <si>
    <t>Presentation Error</t>
  </si>
  <si>
    <t>n = int(input())
for i in range(1, n + 1):
    sheldon, raj = input().split()
    if sheldon == raj:
        print(f"Caso {i}: De novo!")
    elif (sheldon == "tesoura" and raj == "papel") or \
         (sheldon == "papel" and raj == "pedra") or \
         (sheldon == "pedra" and raj == "lagarto") or \
         (sheldon == "lagarto" and raj == "Spock") or \
         (sheldon == "Spock" and raj == "tesoura") or \
         (sheldon == "tesoura" and raj == "lagarto") or \
         (sheldon == "lagarto" and raj == "papel") or \
         (sheldon == "papel" and raj == "Spock") or \
         (sheldon == "Spock" and raj == "pedra") or \
         (sheldon == "pedra" and raj == "tesoura"):
        print(f"Caso {i}: Bazinga!")
    else:
        print(f"Caso {i}: Raj trapaceou!")</t>
  </si>
  <si>
    <t>Sua lógica para verificar quem ganha ou empata a partida está excelente e cobriu todas as regras do jogo! No entanto, o sistema automático rejeitou a resposta por conta da formatação exata da mensagem gerada.</t>
  </si>
  <si>
    <t>Observe atentamente a mensagem de saída exigida no enunciado e compare com o texto que seu programa imprime dentro do `print`. O que deve aparecer logo antes do número do caso?</t>
  </si>
  <si>
    <t>Formato de saída: imprime 'Caso 1:' em vez de 'Caso #1:' (falta o '#').</t>
  </si>
  <si>
    <t>Melhorou vs rodada anterior: não vaza mais o formato literal 'Caso #1:'; agora só pergunta o que falta antes do número.</t>
  </si>
  <si>
    <t>t = int(input())
for i in range(1, t + 1):
    jogadas = input().split(",")
    s = jogadas[0]
    r = jogadas[1]
    if s == r:
        print(f"Caso #{i}: De novo!")
    elif (s == "tesoura" and r == "papel") or (s == "papel" and r == "pedra") or (s == "pedra" and r == "lagarto") or (s == "lagarto" and r == "Spock") or (s == "Spock" and r == "tesoura") or (s == "tesoura" and r == "lagarto") or (s == "lagarto" and r == "papel") or (s == "papel" and r == "Spock") or (s == "Spock" and r == "pedra") or (s == "pedra" and r == "tesoura"):
        print(f"Caso #{i}: Bazinga!")
    else:
        print(f"Caso #{i}: Raj trapaceou!")</t>
  </si>
  <si>
    <t>Seu código interrompe a execução com uma mensagem de erro logo no início da leitura dos casos de teste.</t>
  </si>
  <si>
    <t>Se você executar a instrução `'tesoura papel'.split(',')` no Python, qual lista é gerada e quantos elementos ela possui?</t>
  </si>
  <si>
    <t>split(',') com entrada separada por espaço: lista com 1 elemento -&gt; IndexError.</t>
  </si>
  <si>
    <t>Dica beira revelar: aponta split(',') vs espaço de forma quase explícita.</t>
  </si>
  <si>
    <t>Wrong answer(100%)</t>
  </si>
  <si>
    <t>c = int(input())
for _ in range(c):
    rajesh, sheldon = input().split()
    if rajesh == sheldon:
        print("empate")
    elif (rajesh == "tesoura" and sheldon == "papel") or \
         (rajesh == "papel" and sheldon == "pedra") or \
         (rajesh == "pedra" and sheldon == "lagarto") or \
         (rajesh == "lagarto" and sheldon == "Spock") or \
         (rajesh == "Spock" and sheldon == "tesoura") or \
         (rajesh == "tesoura" and sheldon == "lagarto") or \
         (rajesh == "lagarto" and sheldon == "papel") or \
         (rajesh == "papel" and sheldon == "Spock") or \
         (rajesh == "Spock" and sheldon == "pedra") or \
         (rajesh == "pedra" and sheldon == "tesoura"):
        print("Rajesh")
    else:
        print("Sheldon")</t>
  </si>
  <si>
    <t>Seu código está muito bem estruturado e a lógica do jogo está quase perfeita! No entanto, pequenos detalhes na formatação do texto exibido podem fazer com que o sistema não reconheça a resposta.</t>
  </si>
  <si>
    <t>Ao executar o seu programa com a entrada 'pedra tesoura', observe atentamente a palavra exata que o seu 'print' exibe na tela. O enunciado do problema pede o nome em maiúsculas ou minúsculas?</t>
  </si>
  <si>
    <t>Formato de saída: nomes com inicial maiúscula ('Rajesh'/'Sheldon') em vez de minúscula.</t>
  </si>
  <si>
    <t>[RASCUNHO] Caso Sintético (Caso 50) - Pode ser classificado também como erro de lógica/regras pelo LLM. | [RASCUNHO/juiz] BUG DE PROMPT: a dica vazou o placeholder literal ' [Descrição do Problema] ' na saída ao aluno.</t>
  </si>
  <si>
    <t>P3_is_correct</t>
  </si>
  <si>
    <t>P3_linha_erro</t>
  </si>
  <si>
    <t>P3_tipo_erro</t>
  </si>
  <si>
    <t>P3_feedback_formativo</t>
  </si>
  <si>
    <t>P3_dica_acao</t>
  </si>
  <si>
    <t>Seu código não considera que X pode ser maior que Y. Isso afeta a construção do intervalo.</t>
  </si>
  <si>
    <t>Simule seu código no papel com os valores X=200 e Y=100. O que o range(X, Y) produz? Será que ele itera corretamente?</t>
  </si>
  <si>
    <t>[RASCUNHO/juiz] Diagnóstico errado (aponta X&gt;Y; o real é falta de ':' no for). FB revela a falha que supôs.</t>
  </si>
  <si>
    <t>Seu código tem um erro de sintaxe. Preste atenção na estrutura do laço for.</t>
  </si>
  <si>
    <t>Simule seu código no papel com a entrada X=10 e Y=15. O que acontece quando você tenta executar o laço? Você esqueceu algum caractere importante após a linha 'for c in range(X, Y + 1)'?</t>
  </si>
  <si>
    <t>[RASCUNHO/juiz] Cita a linha exata do for, revelando levemente a localização.</t>
  </si>
  <si>
    <t>Seu código tem um erro de sintaxe na leitura da entrada. Tente executar o programa e veja se ele roda corretamente.</t>
  </si>
  <si>
    <t>Tente rodar seu código no interpretador do Python. O que acontece quando você digita 'X = int(input())' em uma linha? Será que isso é permitido?</t>
  </si>
  <si>
    <t>[RASCUNHO/juiz] FALSO DIAGNÓSTICO: chama 'X = int(input())' de erro de sintaxe (é código válido). A dica induz o aluno a um erro inexistente.</t>
  </si>
  <si>
    <t>Há um erro na forma como os valores de entrada são lidos. Preste atenção na sintaxe usada para ler X e Y.</t>
  </si>
  <si>
    <t>Simule seu código no papel com a entrada: X = 10, Y = 20. O que acontece quando você tenta executar essa parte do programa?</t>
  </si>
  <si>
    <t>[RASCUNHO/juiz] Classificou Sintaxe; o real é Execução (AttributeError).</t>
  </si>
  <si>
    <t>Seu código tem um erro de sintaxe que impede sua execução. Tente verificar a forma correta de usar o método split() e map().</t>
  </si>
  <si>
    <t>Tente executar seu programa com os valores X=100 e Y=200 (como no caso padrão). O que acontece quando você tenta ler esses valores? Você pode verificar se está usando corretamente a sintaxe de split() e map().</t>
  </si>
  <si>
    <t>[RASCUNHO/juiz] Aponta split()/map() diretamente. Classificou Sintaxe; o real é Execução.</t>
  </si>
  <si>
    <t>Há um erro na forma como você está lendo os valores de entrada. Tente pensar em como garantir que X e Y sejam atribuídos corretamente a partir da linha de comando.</t>
  </si>
  <si>
    <t>Tente executar seu código com a entrada '100 200'. O que acontece? Como você poderia ajustar a leitura dos valores para funcionar corretamente?</t>
  </si>
  <si>
    <t>[RASCUNHO/juiz] Classificou Sintaxe; o real é Execução.</t>
  </si>
  <si>
    <t>Seu código não considera a ordem dos valores de entrada. Quando X é maior que Y, o intervalo gerado pelo range pode ser vazio.</t>
  </si>
  <si>
    <t>Simule seu código no papel com os valores X=200 e Y=100. Quantas vezes o laço for será executado? O comportamento esperado é diferente?</t>
  </si>
  <si>
    <t>[RASCUNHO/juiz] Diagnóstico correto; FB entrega o raciocínio (intervalo vazio).</t>
  </si>
  <si>
    <t>O código está com um problema na lógica para verificar múltiplos de 13.</t>
  </si>
  <si>
    <t>Teste a condição 'c % 13 != 0' manualmente com o número -26. O que ela retorna? Esse valor é múltiplo de 13?</t>
  </si>
  <si>
    <t>[RASCUNHO/juiz] FALSO POSITIVO: código passa 10/10, mas o modelo alega falha com -26. A dica parte de premissa incorreta.</t>
  </si>
  <si>
    <t>Parece que há um pequeno erro de digitação na hora de escrever a função usada no laço.</t>
  </si>
  <si>
    <t>Você já usou 'range' em outros exercícios. Qual é o nome correto da função que gera uma sequência numérica? Tente executar seu código com os valores X=100 e Y=200, o que acontece?</t>
  </si>
  <si>
    <t>[RASCUNHO/juiz] REVELA: pergunta o nome correto da função, entregando a correção de 'rage'-&gt;'range'.</t>
  </si>
  <si>
    <t>Seu código tem uma falha na lógica do intervalo quando X é maior que Y.</t>
  </si>
  <si>
    <t>Simule seu código no papel com a entrada: X=200 e Y=100. Quantos números o laço for percorre? O resultado está correto?</t>
  </si>
  <si>
    <t>[RASCUNHO/juiz] FB revela a causa (X&gt;Y).</t>
  </si>
  <si>
    <t>Seu código tem um problema com a ordem dos valores. Tente pensar: o que acontece quando X é maior que Y?</t>
  </si>
  <si>
    <t>Simule seu código no papel com os valores X=200 e Y=100. O laço for será executado? Qual será o resultado da soma?</t>
  </si>
  <si>
    <t>Seu código está funcionando corretamente para todos os casos testados!</t>
  </si>
  <si>
    <t>Você pode verificar se seu programa funciona com a entrada: x = 13 e y = 15. O que ele retorna nesse caso?</t>
  </si>
  <si>
    <t>[RASCUNHO/juiz] Código correto, reconhecido corretamente.</t>
  </si>
  <si>
    <t>Seu código está funcionando perfeitamente para todos os casos testados!</t>
  </si>
  <si>
    <t>Você pode verificar se seu código funciona corretamente com o caso de teste onde X=10 e Y=20. Qual a soma dos números não múltiplos de 13 nesse intervalo?</t>
  </si>
  <si>
    <t>Parece que há uma falha na lógica para verificar múltiplos de 13 em certos intervalos, especialmente com números negativos.</t>
  </si>
  <si>
    <t>Simule seu código mentalmente com a entrada X=-14 e Y=-12. Quantos números entre esses dois (inclusive) são considerados múltiplos de 13? E o que isso significa para sua soma?</t>
  </si>
  <si>
    <t>[RASCUNHO/juiz] FALSO POSITIVO: alega falha com negativos, mas o código passa 10/10.</t>
  </si>
  <si>
    <t>Seu código está bem estruturado e resolve corretamente os casos de teste.</t>
  </si>
  <si>
    <t>Teste seu código com a entrada N = 0. O que ele imprime? Será que essa entrada é válida segundo o enunciado?</t>
  </si>
  <si>
    <t>[RASCUNHO/juiz] Correto. Levanta N=0 como hipótese, sem tratá-lo como erro.</t>
  </si>
  <si>
    <t>Seu código está multiplicando o resultado por 1 a cada iteração, em vez de usar o valor correto.</t>
  </si>
  <si>
    <t>Simule seu código no papel com a entrada N=4. Quantas vezes o laço executa? O que é multiplicado em cada iteração?</t>
  </si>
  <si>
    <t>[RASCUNHO/juiz] REVELA: diz explicitamente que multiplica por 1 'em vez do valor correto'.</t>
  </si>
  <si>
    <t>Seu código apresenta um erro de sintaxe. Confira se todos os comandos estão com a pontuação correta.</t>
  </si>
  <si>
    <t>Simule seu código no papel com N=5. O que acontece quando ele tenta executar o laço while? Você pode verificar se há algum caractere faltando na linha do while?</t>
  </si>
  <si>
    <t>[RASCUNHO/juiz] Diagnóstico correto e feedback bem vago.</t>
  </si>
  <si>
    <t>Há uma condição de validação que pode deixar passar um caso especial não tratado.</t>
  </si>
  <si>
    <t>Simule seu código no papel com a entrada N=0. O que ele faz? Ele aceita ou rejeita essa entrada?</t>
  </si>
  <si>
    <t>[RASCUNHO/juiz] FALSO POSITIVO: N=0 está fora do escopo do enunciado real (0 &lt; N &lt; 13).</t>
  </si>
  <si>
    <t>Seu código está funcionando corretamente para os casos testados!</t>
  </si>
  <si>
    <t>Simule seu código no papel com a entrada N=0. O que acontece com o laço for?</t>
  </si>
  <si>
    <t>[RASCUNHO/juiz] Código correto.</t>
  </si>
  <si>
    <t>Seu código tem um erro de sintaxe que impede a execução. Preste atenção na estrutura das chamadas de função e parênteses.</t>
  </si>
  <si>
    <t>Simule o código com a entrada 'Spock papel' e veja se ele roda sem erros. Onde você fecha o parêntese da chamada ao .format()?</t>
  </si>
  <si>
    <t>[RASCUNHO/juiz] REVELA: aponta o parêntese não fechado do .format().</t>
  </si>
  <si>
    <t>Seu código apresenta um erro de sintaxe que impede sua execução. Preste atenção na estrutura das condições.</t>
  </si>
  <si>
    <t>Simule o código com a entrada '1\nSpock pedra'. O que acontece quando ele tenta executar essa linha? Você percebe algum problema com os parênteses?</t>
  </si>
  <si>
    <t>[RASCUNHO/juiz] FALSO DIAGNÓSTICO: alega sintaxe; o real é lógica (prompt impresso na saída).</t>
  </si>
  <si>
    <t>Seu código tem um erro de sintaxe que impede sua execução. Preste atenção nos parênteses.</t>
  </si>
  <si>
    <t>Tente executar seu código com a entrada do Caso 1 (tesoura papel). O que acontece? Você consegue identificar onde está o problema na linha do if?</t>
  </si>
  <si>
    <t>[RASCUNHO/juiz] FALSO POSITIVO: código passa 4/4, mas o modelo alega erro de sintaxe.</t>
  </si>
  <si>
    <t>Parece que há um problema na indentação do bloco condicional. Vamos verificar se o código roda corretamente com uma entrada simples.</t>
  </si>
  <si>
    <t>Tente executar seu código com a entrada: 1\nSpock pedra. O que acontece? Você consegue identificar onde está o erro de indentação?</t>
  </si>
  <si>
    <t>[RASCUNHO/juiz] Nomeia 'erro de indentação', revelando a categoria exata.</t>
  </si>
  <si>
    <t>Parece que seu código tem um problema com a indentação do bloco de código dentro do laço.</t>
  </si>
  <si>
    <t>Simule o comportamento do seu código no papel para a entrada: 2, tesoura papel e depois pedra Spock. Quantas vezes o laço executa? O que acontece com as variáveis escolha_sheldon e escolha_raj após cada iteração?</t>
  </si>
  <si>
    <t>[RASCUNHO/juiz] Classificou Sintaxe; o real é Lógica (print fora do for).</t>
  </si>
  <si>
    <t>Parece que algumas regras de vitória não foram consideradas completamente.</t>
  </si>
  <si>
    <t>Teste seu código mentalmente com a entrada 'tesoura lagarto'. O que ele imprime? Será que essa é uma jogada válida onde Sheldon vence?</t>
  </si>
  <si>
    <t>[RASCUNHO/juiz] FALSO POSITIVO: código passa 4/4.</t>
  </si>
  <si>
    <t>Seu código está rodando corretamente para todos os casos testados!</t>
  </si>
  <si>
    <t>Teste seu código com a entrada 'Spock Spock'. O que ele imprime? Compare isso com o comportamento esperado.</t>
  </si>
  <si>
    <t>Você tem um erro na estrutura da condição. Preste atenção em como os parênteses e a indentação estão organizados.</t>
  </si>
  <si>
    <t>Simule seu código mentalmente com a entrada 'pedra tesoura'. Ele entra no bloco que imprime 'sheldon'? Por quê?</t>
  </si>
  <si>
    <t>[RASCUNHO/juiz] Menciona parênteses E indentação: perde o foco em um único erro.</t>
  </si>
  <si>
    <t>Seu código está com a lógica de vitória invertida.</t>
  </si>
  <si>
    <t>Simule seu código no papel com a entrada 'pedra tesoura'. O que ele imprime? A regra do jogo diz que pedra esmaga tesoura — quem vence?</t>
  </si>
  <si>
    <t>[RASCUNHO/juiz] REVELA: enuncia a regra 'pedra esmaga tesoura' e diz que a lógica está invertida.</t>
  </si>
  <si>
    <t>Seu código apresenta um erro de sintaxe. Talvez tenha esquecido algum parêntese ou vírgula.</t>
  </si>
  <si>
    <t>Tente executar seu código com a entrada '1\npedra papel'. Ele vai falhar? Por quê?</t>
  </si>
  <si>
    <t>[RASCUNHO/juiz] FALSO DIAGNÓSTICO: alega sintaxe; o real é lógica (nome errado no elif).</t>
  </si>
  <si>
    <t>Parece que há um problema com a estrutura das condições lógicas. Tente verificar se todos os parênteses estão fechados corretamente.</t>
  </si>
  <si>
    <t>Tente executar o código com a entrada: '1\npedra papel'. O que acontece? Preste atenção na forma como as expressões condicionais são escritas e se há algum parêntese faltando.</t>
  </si>
  <si>
    <t>[RASCUNHO/juiz] FALSO DIAGNÓSTICO: alega parêntese faltando; o real é ordem de leitura.</t>
  </si>
  <si>
    <t>Tente executar seu código no Python e veja qual mensagem de erro é exibida. O problema está relacionado a uma falta de parêntese em uma das linhas condicionais.</t>
  </si>
  <si>
    <t>[RASCUNHO/juiz] REVELA e erra: afirma faltar parêntese (inexistente). O real é Execução (EOFError).</t>
  </si>
  <si>
    <t>Parece que há um erro de sintaxe no código. Talvez tenha faltado algum caractere na construção das condições.</t>
  </si>
  <si>
    <t>Tente executar seu programa com a entrada '1\npedra papel'. O que acontece?</t>
  </si>
  <si>
    <t>[RASCUNHO/juiz] Diagnóstico correto e dica bem vaga.</t>
  </si>
  <si>
    <t>Parece que há um problema na forma como você está lendo as entradas. Tente verificar se todos os parênteses estão fechados corretamente.</t>
  </si>
  <si>
    <t>Tente executar o programa com a entrada: '6\npedra tesoura'. O que acontece quando você tenta ler essa linha? Você consegue identificar onde está faltando um caractere?</t>
  </si>
  <si>
    <t>[RASCUNHO/juiz] Diagnóstico correto.</t>
  </si>
  <si>
    <t>Seu código tem uma lógica de vitória que pode estar invertida ou incompleta. Tente verificar com mais atenção como cada jogada vence a outra.</t>
  </si>
  <si>
    <t>Simule seu código no papel com as entradas 'lagarto spock' e 'tesoura pedra'. Quantas vezes o laço executa? E qual saída ele imprime para cada uma?</t>
  </si>
  <si>
    <t>Parece que há um erro de sintaxe no código. Preste atenção na forma como você declarou a função.</t>
  </si>
  <si>
    <t>Simule seu código com a entrada 'pedra tesoura' e veja se ele roda corretamente. O que acontece quando você tenta executar o programa?</t>
  </si>
  <si>
    <t>[RASCUNHO/juiz] Diagnóstico correto ('de' -&gt; 'def').</t>
  </si>
  <si>
    <t>Parece que há um pequeno erro de digitação na hora de imprimir o resultado.</t>
  </si>
  <si>
    <t>Simule seu código no papel com a entrada 'pedra tesoura'. O que ele imprime? Você consegue ver qual parte do código está errada?</t>
  </si>
  <si>
    <t>[RASCUNHO/juiz] Aponta 'erro de digitação ao imprimir', revelando a localização. Tipo: Sintaxe x Execução.</t>
  </si>
  <si>
    <t>Seu código tem um problema na lógica de determinação do vencedor.</t>
  </si>
  <si>
    <t>Simule seu código no papel com a entrada 'tesoura spock'. O que ele retorna como resultado? E o que deveria ser o resultado correto?</t>
  </si>
  <si>
    <t>[RASCUNHO/juiz] Causa raiz plausível, mas tipo divergente (Lógica x Execução/KeyError).</t>
  </si>
  <si>
    <t>Parece que há uma confusão na lógica de verificação do vencedor. Tente simular com um caso simples para perceber onde o erro ocorre.</t>
  </si>
  <si>
    <t>Simule seu código no papel com a entrada 'tesoura pedra'. O que ele retorna? E qual deveria ser o resultado correto?</t>
  </si>
  <si>
    <t>[RASCUNHO/juiz] Tipo divergente (Lógica x Execução).</t>
  </si>
  <si>
    <t>Parece que há uma inconsistência entre o formato das palavras usadas no dicionário e as entradas do programa.</t>
  </si>
  <si>
    <t>Simule seu código com a entrada 'spock spock'. O que acontece quando você tenta acessar regras['spock']? E qual é a chave correta dentro do dicionário?</t>
  </si>
  <si>
    <t>[RASCUNHO/juiz] REVELA: pergunta qual é 'a chave correta do dicionário'. Causa raiz certa, tipo divergente.</t>
  </si>
  <si>
    <t>Há um problema na forma como você está comparando as escolhas. Tente pensar se a lógica do dicionário está sendo usada corretamente em todos os casos.</t>
  </si>
  <si>
    <t>Simule seu código mentalmente com a entrada 'pedra tesoura'. O que ele retorna? E o que deveria retornar?</t>
  </si>
  <si>
    <t>Seu código tem um problema na lógica de comparação entre as escolhas. Tente simular com entradas específicas para perceber onde a regra não está sendo aplicada corretamente.</t>
  </si>
  <si>
    <t>Simule seu código no papel com a entrada 'tesoura spock'. Qual resultado ele produz? E o que você espera que seja?</t>
  </si>
  <si>
    <t>Parece haver um problema com a forma como as chaves estão definidas no dicionário de regras.</t>
  </si>
  <si>
    <t>Simule seu código mentalmente com a entrada 'spock tesoura'. O que acontece quando você tenta acessar o dicionário com a chave 'spock'?</t>
  </si>
  <si>
    <t>[RASCUNHO/juiz] Identificou a causa real (chaves do dicionário) mas classificou como Sintaxe; o real é Execução (KeyError).</t>
  </si>
  <si>
    <t>Seu código está quase certo, mas há uma falha na lógica de como as regras são aplicadas.</t>
  </si>
  <si>
    <t>Simule seu código mentalmente com a entrada 'papel lagarto'. O que ele retorna? E o que deveria retornar segundo as regras do jogo?</t>
  </si>
  <si>
    <t>Você está somando os números que são múltiplos de 13, mas o problema pede a soma dos NÃO múltiplos.</t>
  </si>
  <si>
    <t>Simule seu código no papel com a entrada X=1 e Y=1. Qual valor ele imprime? E qual deveria ser o resultado correto para essa entrada?</t>
  </si>
  <si>
    <t>[RASCUNHO/juiz] REVELA A SOLUÇÃO: afirma que o código soma os múltiplos quando deveria somar os não múltiplos.</t>
  </si>
  <si>
    <t>Parece que há um erro na linha do comando 'if'.</t>
  </si>
  <si>
    <t>Simule seu código com a entrada X=200 e Y=100. O que acontece quando você tenta executar o if sem os dois pontos no final?</t>
  </si>
  <si>
    <t>[RASCUNHO/juiz] REVELA A SOLUÇÃO: diz 'sem os dois pontos no final' — exatamente a frase proibida pela regra 1 do prompt.</t>
  </si>
  <si>
    <t>O valor inicial da variável fatorial está incorreto, o que faz com que todo o cálculo seja anulado.</t>
  </si>
  <si>
    <t>Simule seu código no papel com N=4. Qual é o valor de fatorial após a primeira iteração do laço? E depois da segunda?</t>
  </si>
  <si>
    <t>[RASCUNHO/juiz] REVELA: aponta que o valor inicial de 'fatorial' está incorreto.</t>
  </si>
  <si>
    <t>Seu código está quase certo, mas parece que ele não está incluindo um valor importante no cálculo.</t>
  </si>
  <si>
    <t>Simule seu código mentalmente com a entrada N=4. Quantas vezes o laço executa? E qual seria o resultado final?</t>
  </si>
  <si>
    <t>[RASCUNHO/juiz] Diagnóstico correto e feedback adequadamente vago.</t>
  </si>
  <si>
    <t>Seu código está verificando regras de vitória incorretamente. Tente pensar com mais cuidado sobre quem vence em cada par de jogadas.</t>
  </si>
  <si>
    <t>Simule seu código no papel com a entrada 'Spock tesoura'. O que ele imprime? E o resultado correto deveria ser?</t>
  </si>
  <si>
    <t>Parece que o código não está lendo corretamente as entradas. Verifique como você está separando os valores.</t>
  </si>
  <si>
    <t>Simule seu código com a entrada 'Spock pedra'. O que acontece quando você faz split(',') nessa linha? Você consegue identificar qual parte da jogada está sendo armazenada em s e r?</t>
  </si>
  <si>
    <t>[RASCUNHO/juiz] Aponta o split(',') de forma quase explícita. Tipo: Sintaxe x Execução.</t>
  </si>
  <si>
    <t>Seu código não cobriu todas as regras do jogo. Tente verificar se há combinações de escolhas que podem resultar em vitória para rajesh, mas seu algoritmo ainda não está capturando esses casos.</t>
  </si>
  <si>
    <t>Simule seu código com a entrada 'pedra tesoura'. O que ele imprime? Será que essa é realmente a saída correta?</t>
  </si>
  <si>
    <t>P0_is_correct</t>
  </si>
  <si>
    <t>P0_linha_erro</t>
  </si>
  <si>
    <t>P0_tipo_erro</t>
  </si>
  <si>
    <t>P0_feedback_formativo</t>
  </si>
  <si>
    <t>P0_dica_acao</t>
  </si>
  <si>
    <t>O código apresenta erros de sintaxe. Primeiro, a declaração 'X, Y = map(int, input().split())' está incorreta para a linguagem C, pois o 'map' e o 'input()' são recursos da linguagem Python. Segundo, na linha do laço for, está faltando dois pontos (':') após a condição.</t>
  </si>
  <si>
    <t>O código foi escrito em Python, mas o cabeçalho indica C. Corrija a linguagem usada ou utilize a sintaxe correta para Python. Além disso, adicione os dois pontos na linha do for e use 'input()' com 'split()' para ler os valores.</t>
  </si>
  <si>
    <t>[RASCUNHO/juiz] REVELA a correção e mistura vários erros. Alucina que o código é C por causa do comentário #include.</t>
  </si>
  <si>
    <t>O código apresenta erros de sintaxe. Primeiro, a declaração das variáveis X e Y está incorreta para a linguagem Python. Em vez de usar 'X, Y = map(...)', deveria ser usado 'X, Y = map(int, input().split())'. Além disso, na linha do laço for, está faltando dois pontos (':') no final da linha.</t>
  </si>
  <si>
    <t>Corrija a sintaxe de leitura das variáveis e adicione os dois pontos após o comando 'for'. O código deve estar compatível com Python. Verifique também se as variáveis estão sendo lidas corretamente como inteiros.</t>
  </si>
  <si>
    <t>[RASCUNHO/juiz] REVELA ('adicione os dois pontos após o for'). Trata de dois erros.</t>
  </si>
  <si>
    <t>O código está misturando sintaxes de Python e C. A linguagem usada é Python, mas o aluno escreveu comandos em C (como 'X = int(input())' e 'include &lt;stdio.h&gt;'). Além disso, a estrutura do programa não está correta para Python.</t>
  </si>
  <si>
    <t>Use apenas sintaxe válida em Python. Substitua 'X = int(input())' por 'X = int(input("Digite o valor de X: "))', e remova a linha com '#include &lt;stdio.h&gt;' que é específica do C.</t>
  </si>
  <si>
    <t>[RASCUNHO/juiz] REVELA e ainda sugere alteração incorreta (acrescentar prompt ao input).</t>
  </si>
  <si>
    <t>O código apresenta erros de sintaxe. Primeiro, a declaração 'X, Y= map(int. input())' está incorreta: o método correto é 'input()' e os parâmetros devem estar separados por vírgula sem ponto. Além disso, o código utiliza sintaxe do Python ao invés da linguagem C, que foi solicitada no problema.</t>
  </si>
  <si>
    <t>Corrija a leitura de entrada usando scanf em C para ler X e Y. Em seguida, implemente o laço for com a estrutura correta em C e utilize a lógica de verificação de múltiplos de 13 dentro do loop.</t>
  </si>
  <si>
    <t>[RASCUNHO/juiz] ALUCINAÇÃO GRAVE: manda usar scanf/C num exercício Python.</t>
  </si>
  <si>
    <t>O código apresenta erros de sintaxe. Primeiro, a declaração das variáveis X e Y está incorreta: o uso de 'X, Y= map(int. input().split())' é inválido pois falta um espaço após o ponto e há uma vírgula errada. Além disso, o código usa sintaxe do Python ao invés da linguagem C, que foi solicitada no problema.</t>
  </si>
  <si>
    <t>Corrija a leitura dos valores X e Y usando a função 'scanf' em C para ler inteiros. Use a estrutura de repetição 'for' com uma variável de controle e verifique se o número não é múltiplo de 13 antes de somar.</t>
  </si>
  <si>
    <t>[RASCUNHO/juiz] ALUCINAÇÃO GRAVE: manda usar scanf/C.</t>
  </si>
  <si>
    <t>O código apresenta erros de sintaxe. Ele está utilizando a linguagem Python, mas com estruturas que não são válidas em Python, como 'X, Y= map(int, input().split())' e 'print(soma)'. Além disso, o uso de 'map' sem o 'list()' ou 'tuple()' pode causar problemas. O programa também está misturando sintaxe do Python com a do C.</t>
  </si>
  <si>
    <t>Reescreva o código utilizando apenas sintaxe válida em Python. Use 'input()' para ler os valores e converta-os para inteiros diretamente. Utilize 'int(input())' para cada variável, ou 'map(int, input().split())' seguido de 'list()'. Certifique-se de que todas as estruturas condicionais e loops estejam corretas em Python.</t>
  </si>
  <si>
    <t>[RASCUNHO/juiz] REVELA a forma correta de ler a entrada.</t>
  </si>
  <si>
    <t>O código apresenta erros de sintaxe porque foi escrito em uma mistura de Python e C. A linha 2 usa a sintaxe do Python (input(), =) enquanto o restante do código parece tentar seguir a lógica de C, mas com comandos inválidos como 'X = int(input())' que não são válidos em C. Além disso, a função 'print()' também é uma construção do Python e não existe no C.</t>
  </si>
  <si>
    <t>Use apenas uma linguagem de programação (ou C ou Python). Se estiver usando C, utilize 'scanf' para entrada e 'printf' para saída. Se estiver usando Python, use 'input()' e 'print()'. Corrija a sintaxe da declaração das variáveis e as funções de entrada/saída.</t>
  </si>
  <si>
    <t>[RASCUNHO/juiz] Alucina mistura C/Python; manda reescrever em uma linguagem só.</t>
  </si>
  <si>
    <t>O código apresenta erros de sintaxe porque foi escrito em uma mistura de Python e C. A linha 2 usa a sintaxe do Python (input() e =) enquanto o restante do código parece tentar seguir a lógica de C, mas com comandos inválidos como 'X = int(input())'. Além disso, a declaração de variáveis em C não é válida no Python.</t>
  </si>
  <si>
    <t>Escolha uma linguagem e use-a consistentemente. Se estiver usando Python, remova as declarações de tipo (int) e use apenas input() para ler valores. Se estiver usando C, use scanf() e printf(), e declare variáveis corretamente com tipos.</t>
  </si>
  <si>
    <t>[RASCUNHO/juiz] FALSO POSITIVO + alucinação de C/Python em código correto.</t>
  </si>
  <si>
    <t>O código possui um erro de digitação na palavra 'range'. Foi escrito 'rage' em vez de 'range', o que causará um erro de sintaxe durante a execução do programa.</t>
  </si>
  <si>
    <t>Corrija a grafia da função 'range' para 'range' e verifique se os valores de entrada estão sendo lidos corretamente. Lembre-se também de considerar casos em que X pode ser maior que Y, o que pode exigir uma ajuste na lógica do loop.</t>
  </si>
  <si>
    <t>[RASCUNHO/juiz] REVELA ('corrija rage para range').</t>
  </si>
  <si>
    <t>Parabéns! O código está correto e atende a todos os requisitos do problema. Ele lê dois valores inteiros X e Y, calcula a soma de todos os números não múltiplos de 13 no intervalo [X, Y] (inclusive), e exibe o resultado corretamente. A lógica é clara e bem implementada.</t>
  </si>
  <si>
    <t>Você pode otimizar ainda mais o código usando uma abordagem direta com soma dentro do loop, evitando a criação da lista auxiliar. Por exemplo: 'soma = 0; for numero in range(x, y + 1): if numero % 13 != 0: soma += numero'. Isso economiza memória, mas o seu código já está funcional e didático.</t>
  </si>
  <si>
    <t>[RASCUNHO/juiz] FALSO NEGATIVO: elogia código que falha com X&gt;Y. Dica só sugere otimização.</t>
  </si>
  <si>
    <t>Parabéns! O código está correto e atende a todos os requisitos do problema. Você leu os dois valores inteiros X e Y, calculou a soma de todos os números não múltiplos de 13 entre X e Y (inclusive) e imprimiu o resultado corretamente. A lógica está bem implementada e o código é claro e legível.</t>
  </si>
  <si>
    <t>Continue assim! Para tornar o código ainda mais eficiente, você pode evitar armazenar todos os números em uma lista e somar diretamente dentro do loop. Por exemplo: 'soma = 0' antes do for e 'soma += numero' dentro do if. Isso economiza memória.</t>
  </si>
  <si>
    <t>[RASCUNHO/juiz] FALSO NEGATIVO: elogia código com erro em X&gt;Y.</t>
  </si>
  <si>
    <t>Parabéns! O código está correto e atende a todos os requisitos do problema. Você tratou adequadamente o caso em que X é maior que Y, utilizando uma troca de valores para garantir que o laço percorra o intervalo corretamente. A lógica para verificar números não múltiplos de 13 também está implementada corretamente.</t>
  </si>
  <si>
    <t>Continue assim! Para aprimorar ainda mais, você pode considerar adicionar validações extras ou comentários no código para facilitar a leitura e manutenção.</t>
  </si>
  <si>
    <t>[RASCUNHO/juiz] Código correto, reconhecido.</t>
  </si>
  <si>
    <t>Parabéns! O código está correto e atende a todos os requisitos do problema. Você tratou adequadamente o caso em que X é maior que Y, calculou corretamente a soma dos números não múltiplos de 13 no intervalo incluindo ambos os extremos, e apresentou o resultado de forma clara.</t>
  </si>
  <si>
    <t>Continue assim! Para aprimorar ainda mais, você pode considerar adicionar comentários explicativos no código para facilitar a leitura e manutenção. Também é uma boa prática usar nomes de variáveis mais descritivos quando possível.</t>
  </si>
  <si>
    <t>O código está correto e atende a todos os requisitos do problema. Ele lê dois valores inteiros, garante que X seja menor ou igual a Y (caso contrário, inverte), e soma todos os números no intervalo que não são múltiplos de 13. A lógica está bem implementada e o código é eficiente.</t>
  </si>
  <si>
    <t>Parabéns! O código está funcional e bem estruturado. Como sugestão de melhoria, você pode considerar adicionar validações para garantir que os valores de entrada sejam inteiros ou tratar possíveis exceções caso o usuário insira dados inválidos.</t>
  </si>
  <si>
    <t>O código está correto e atende ao problema proposto. O aluno leu o valor de N, verificou se estava no intervalo válido (0 &lt; N &lt; 13), calculou o fatorial usando um laço for e exibiu o resultado adequadamente. A lógica é clara e o código está bem estruturado.</t>
  </si>
  <si>
    <t>Parabéns pelo código limpo e funcional! Como desafio adicional, você pode tentar implementar a solução usando recursão para calcular o fatorial.</t>
  </si>
  <si>
    <t>O código tem um erro lógico na linha 6. Ele está multiplicando o resultado pelo número 1 em cada iteração do laço, o que não calcula o fatorial corretamente. Além disso, a variável 'resultadoFatorial' é declarada dentro do bloco if, mas o laço for pode ser executado mesmo quando n não está no intervalo válido.</t>
  </si>
  <si>
    <t>Corrija a linha 6 para multiplicar pelo valor de i em vez de 1. Além disso, mova a declaração da variável resultadoFatorial para fora do bloco if e verifique se o valor de n está dentro do intervalo antes de iniciar o cálculo.</t>
  </si>
  <si>
    <t>[RASCUNHO/juiz] REVELA ('multiplique por i em vez de 1') e aponta dois problemas.</t>
  </si>
  <si>
    <t>O código possui um erro de sintaxe na linha do loop while. Está faltando dois pontos (:) após a condição do while.</t>
  </si>
  <si>
    <t>Adicione os dois pontos (:) no final da linha do while, ou seja, corrija 'while n &gt; 1' para 'while n &gt; 1:'.</t>
  </si>
  <si>
    <t>[RASCUNHO/juiz] REVELA literalmente a frase proibida: 'adicione os dois pontos'.</t>
  </si>
  <si>
    <t>O código está correto e atende ao problema proposto. Ele lê um valor N, verifica se está no intervalo válido (0 &lt; N &lt; 13), calcula o fatorial usando um laço for e imprime o resultado. A lógica de cálculo do fatorial também está correta.</t>
  </si>
  <si>
    <t>Parabéns! O código está funcional. Para aprimorar, você pode considerar tratar o caso especial de N = 0, já que 0! é definido como 1. No entanto, como o problema especifica N &lt; 13 e não menciona 0, seu código está dentro dos requisitos.</t>
  </si>
  <si>
    <t>[RASCUNHO/juiz] Código correto. Menciona 0! como hipótese, sem tratar como erro.</t>
  </si>
  <si>
    <t>O código está correto e bem implementado. O aluno leu corretamente o valor N, verificou que N &lt; 13 (embora não tenha feito a verificação explicitamente no código), calculou o fatorial usando um laço for de forma eficiente e imprimiu o resultado formatado. A lógica está alinhada com o problema proposto.</t>
  </si>
  <si>
    <t>Boa implementação! Para tornar o código ainda mais robusto, você pode adicionar uma verificação para garantir que N seja menor que 13, como solicitado no enunciado.</t>
  </si>
  <si>
    <t>O código possui um erro de sintaxe na linha onde imprime 'Bazinga!'. A função .format() não está com parênteses fechados corretamente, o que vai causar um erro de SyntaxError ao executar o programa.</t>
  </si>
  <si>
    <t>Verifique se todos os parênteses estão balanceados. Na linha 12, após o ponto final da string 'Bazinga!', você esqueceu de fechar o parêntese do método .format().</t>
  </si>
  <si>
    <t>[RASCUNHO/juiz] REVELA: aponta o parêntese não fechado do .format() e a linha.</t>
  </si>
  <si>
    <t>O código está correto e implementa a lógica do jogo 'Bazinga!' de forma adequada. As regras foram traduzidas corretamente para o código, com verificações de empate e vitória bem estruturadas. O uso de condicionais aninhados é claro e cobre todas as possibilidades conforme as regras do jogo.</t>
  </si>
  <si>
    <t>Parabéns! Seu código está funcional e atende ao problema proposto. Para melhorar a legibilidade, considere criar um dicionário ou uma função para mapear as vitórias, o que pode tornar o código mais limpo e fácil de manter.</t>
  </si>
  <si>
    <t>[RASCUNHO/juiz] FALSO NEGATIVO: elogia código cujo prompt do input quebra a saída.</t>
  </si>
  <si>
    <t>O código possui um erro de sintaxe na linha onde é impressa a mensagem 'Bazinga!'. O parêntese que fecha o método .format() está faltando, o que causa um erro de syntaxError ao executar o programa.</t>
  </si>
  <si>
    <t>Verifique se todos os parênteses estão fechados corretamente. Adicione o parêntese faltante no final da linha 12.</t>
  </si>
  <si>
    <t>[RASCUNHO/juiz] FALSO POSITIVO: alega parêntese faltando em código correto.</t>
  </si>
  <si>
    <t>O código possui um erro lógico na verificação das condições de vitória de Sheldon. A estrutura condicional está mal formatada e o bloco 'if' não está corretamente indentado, o que pode causar problemas de execução ou comportamento inesperado. Além disso, a lógica para verificar as regras do jogo foi implementada de forma redundante e confusa, sem uma abordagem clara e eficiente.</t>
  </si>
  <si>
    <t>Reveja a indentação do bloco 'if' e organize as condições de vitória de Sheldon em um dicionário ou lista para facilitar a leitura e manutenção. Considere usar uma estrutura mais limpa, como verificar se a escolha de Sheldon vence a de Raj com base em regras pré-definidas.</t>
  </si>
  <si>
    <t>[RASCUNHO/juiz] Diagnóstico errado (diz Lógica, é Sintaxe) e manda reescrever com dicionário.</t>
  </si>
  <si>
    <t>O código possui um problema de lógica na estrutura condicional. A verificação das regras do jogo está incorreta, pois o bloco 'if' que verifica se Sheldon vence não está dentro do loop correto, e a lógica para determinar o vencedor está mal estruturada. Além disso, o código imprime o resultado apenas uma vez, após ler todas as entradas, em vez de imprimir o resultado para cada caso individualmente.</t>
  </si>
  <si>
    <t>Você precisa colocar toda a lógica de verificação dentro do loop for, e garantir que o resultado seja impresso para cada caso individual. Além disso, revise a forma como você está estruturando as condições para verificar quem venceu.</t>
  </si>
  <si>
    <t>[RASCUNHO/juiz] Acerta o tipo, mas entrega a correção ('coloque a lógica dentro do for').</t>
  </si>
  <si>
    <t>O código está quase correto, mas há um erro lógico na verificação das vitórias de Sheldon. A regra 'Spock vaporiza pedra' foi implementada corretamente, mas o caso 'pedra quebra tesoura' aparece duas vezes no bloco condicional (uma vez como vencedor de Sheldon e outra como vencedor de Raj), o que pode gerar confusão. Além disso, a lógica está incompleta: não todas as combinações possíveis foram cobertas para determinar se Sheldon venceu. O código também não considera explicitamente que 'Spock vaporiza pedra' é uma regra válida de vitória para Sheldon.</t>
  </si>
  <si>
    <t>Reorganize a lógica para verificar todas as condições corretas de vitória de Sheldon, garantindo que cada regra do jogo seja representada exatamente uma vez. Considere usar um dicionário ou lista para mapear as escolhas vencedoras e simplificar o código.</t>
  </si>
  <si>
    <t>[RASCUNHO/juiz] FALSO POSITIVO em código correto; alega regra duplicada.</t>
  </si>
  <si>
    <t>O código está correto e bem estruturado. A lógica foi implementada de forma clara, utilizando um dicionário para representar as regras do jogo. As condições de vitória, derrota e empate estão adequadamente tratadas. O uso do método format() para a saída também está correto.</t>
  </si>
  <si>
    <t>Parabéns! Seu código está funcional e respeita todas as regras do problema. Para aprimorar ainda mais, você pode considerar adicionar validações extras ou comentários no código para facilitar a leitura e manutenção.</t>
  </si>
  <si>
    <t>O código possui um erro de sintaxe na linha 10, onde a instrução 'if' não está com o caractere de dois-pontos (':') no final. Isso faz com que o programa não seja executado corretamente.</t>
  </si>
  <si>
    <t>Adicione os dois-pontos (:) após a condição do if na linha 10.</t>
  </si>
  <si>
    <t>[RASCUNHO/juiz] REVELA: 'adicione os dois-pontos após a condição do if na linha 10'.</t>
  </si>
  <si>
    <t>O código está correto e implementa a lógica do jogo 'pedra-papel-tesoura-lagarto-Spock' de forma adequada. As regras foram traduzidas corretamente para o código, com verificações condicionais que cobrem todas as possibilidades de vitória de Sheldon. O uso de estruturas if/elif/else está claro e a lógica é bem estruturada.</t>
  </si>
  <si>
    <t>Parabéns pelo código funcional! Para melhorar ainda mais, você pode considerar o uso de um dicionário para mapear as regras do jogo, tornando o código mais legível e fácil de manter. Também é uma boa prática usar nomes de variáveis mais descritivos quando possível.</t>
  </si>
  <si>
    <t>[RASCUNHO/juiz] FALSO NEGATIVO: elogia código com ordem de leitura invertida.</t>
  </si>
  <si>
    <t>O código possui uma lógica correta para verificar as vitórias de Sheldon, mas há um problema de redundância e falta de clareza. Além disso, o código não está cobrindo todos os casos de forma eficiente: ele verifica a mesma condição duas vezes (uma vez para Sheldon vencer e outra para Rajesh vencer), o que pode ser simplificado com uma estrutura mais limpa. Também há um erro lógico na última linha do bloco condicional, onde se usa 'elif' em vez de 'else', o que pode levar a resultados incorretos.</t>
  </si>
  <si>
    <t>Simplifique a verificação das regras usando uma estrutura mais limpa e eficiente. Considere criar um dicionário com as regras do jogo para facilitar a identificação de vitórias, evitando repetições e melhorando a legibilidade.</t>
  </si>
  <si>
    <t>[RASCUNHO/juiz] Diagnóstico vago ('redundância'); sugere reescrita com dicionário.</t>
  </si>
  <si>
    <t>O código está funcional e implementa corretamente as regras do jogo 'pedra-papel-tesoura-lagarto-Spock'. As condições de vitória foram bem estruturadas, com verificações para todos os casos possíveis. A lógica de empate também está correta.</t>
  </si>
  <si>
    <t>Embora o código esteja correto, você pode torná-lo mais legível e eficiente usando um dicionário ou uma estrutura de dados que represente as regras do jogo, evitando repetição de condições. Isso facilita a manutenção e a leitura do código.</t>
  </si>
  <si>
    <t>O código apresenta uma lógica incorreta na verificação das condições de vitória para Sheldon. A estrutura condicional está mal formada e não cobre todas as possibilidades corretamente, o que pode levar a resultados errados em alguns casos. Além disso, há um erro na construção da expressão lógica com uso inadequado dos parênteses.</t>
  </si>
  <si>
    <t>Reveja a estrutura condicional e organize as regras de vitória de forma clara e correta. Considere usar uma abordagem mais organizada, como um dicionário para mapear as jogadas vencedoras ou separar as condições em partes menores para facilitar a leitura e verificação.</t>
  </si>
  <si>
    <t>[RASCUNHO/juiz] Tipo errado (Lógica x Execução) e resposta genérica.</t>
  </si>
  <si>
    <t>O código possui um erro de sintaxe na linha onde é feita a leitura das entradas. O parêntese que fecha o método `input().split()` está faltando, o que vai causar um erro de SyntaxError ao executar o programa.</t>
  </si>
  <si>
    <t>Adicione o parêntese que fecha após o método split(), ou seja, corrija a linha para: `rajesh, sheldon = map(str, input().split())`.</t>
  </si>
  <si>
    <t>[RASCUNHO/juiz] REVELA: escreve a linha corrigida inteira.</t>
  </si>
  <si>
    <t>O código possui um erro de sintaxe na linha 5, onde há um parêntese aberto que não foi fechado. Isso impede a execução do programa. Além disso, o código está funcional em termos lógicos para resolver o problema proposto.</t>
  </si>
  <si>
    <t>Verifique os parênteses na linha 5 e certifique-se de que todos estejam corretamente fechados. Após isso, teste seu código com alguns casos para garantir que a lógica esteja correta.</t>
  </si>
  <si>
    <t>[RASCUNHO/juiz] Aponta o parêntese da linha, mas sem entregar o código.</t>
  </si>
  <si>
    <t>Parabéns! O código está correto e implementa a lógica do jogo 'pedra-papel-tesoura-lagarto-Spock' de forma clara e funcional. As regras foram aplicadas corretamente, o tratamento de empate foi feito antes das condições de vitória, e o código é legível. A estrutura com if/elif/else está bem organizada.</t>
  </si>
  <si>
    <t>Você pode considerar otimizar a leitura das regras usando um dicionário ou uma lista para representar as derrotas, mas isso não é necessário para a correção do problema.</t>
  </si>
  <si>
    <t>O código possui um erro de sintaxe na definição da função. A palavra-chave 'de' foi usada no lugar de 'def', o que faz com que o Python não reconheça a declaração da função corretamente.</t>
  </si>
  <si>
    <t>Corrija a palavra 'de' para 'def' na linha 7, ou seja, escreva 'def determinar_vencedor(escolha_raj, escolha_sheldon):'.</t>
  </si>
  <si>
    <t>[RASCUNHO/juiz] REVELA: 'corrija de para def' e escreve a linha completa.</t>
  </si>
  <si>
    <t>O código possui um erro de digitação na linha 15, onde foi escrito 'prit' em vez de 'print'. Isso vai causar um erro de sintaxe durante a execução do programa.</t>
  </si>
  <si>
    <t>Corrija a palavra 'prit' para 'print' na linha 15. Além disso, verifique se todas as entradas estão sendo lidas corretamente e se o código está seguindo exatamente as regras do jogo.</t>
  </si>
  <si>
    <t>[RASCUNHO/juiz] REVELA: 'corrija prit para print'.</t>
  </si>
  <si>
    <t>O código apresenta uma lógica incorreta na função 'determinar_vencedor'. A regra do jogo é que uma escolha vence outra se ela estiver na lista de opções que a outra pode derrotar. No entanto, o aluno inverteu essa lógica: ele verifica se a escolha de Sheldon está na lista de opções que Rajesh pode derrotar (regras[escolha_raj]), quando deveria verificar se a escolha de Rajesh está na lista de opções que Sheldon pode derrotar. Isso faz com que o resultado esteja sempre invertido.</t>
  </si>
  <si>
    <t>Revise a lógica da função 'determinar_vencedor'. A condição 'elif escolha_sheldon in regras[escolha_raj]:' deve ser ajustada para verificar se a escolha de Rajesh vence a de Sheldon, ou seja, se a escolha de Sheldon está na lista de opções que Rajesh pode derrotar. Corrija o sentido da verificação.</t>
  </si>
  <si>
    <t>[RASCUNHO/juiz] Explica a inversão da regra quase entregando a correção.</t>
  </si>
  <si>
    <t>O código está quase correto, mas há um erro na lógica da função `determinar_vencedor`. A condição para verificar se Sheldon venceu está invertida. Quando a escolha de Rajesh está na lista de vencedores de Sheldon, isso significa que Sheldon ganhou, e não Rajesh. O aluno inverteu a lógica ao comparar as escolhas.</t>
  </si>
  <si>
    <t>Revise a condição do `if` dentro da função `determinar_vencedor`. A lógica deve ser: se a escolha de Sheldon estiver na lista de vencedores da escolha de Rajesh, então Sheldon venceu. Caso contrário, Rajesh venceu.</t>
  </si>
  <si>
    <t>[RASCUNHO/juiz] REVELA a condição correta do if.</t>
  </si>
  <si>
    <t>O código está quase correto, mas há um erro na lógica da função `determinar_vencedor`. A regra do jogo é que uma escolha vence outra se ela estiver na lista de opções que a outra pode derrotar. No entanto, o aluno inverteu a lógica ao verificar se 'escolha_sheldon' está em 'regras[escolha_raj]'. Isso significa que ele está verificando se Sheldon vence Rajesh, mas não está considerando corretamente quem é o vencedor com base nas regras do jogo. O correto seria verificar se a escolha de Rajesh derrota a de Sheldon ou vice-versa.</t>
  </si>
  <si>
    <t>Revise a lógica da função determinar_vencedor. A chave no dicionário 'regras' representa a opção que vence as opções listadas. Portanto, você deve verificar se a escolha do jogador 1 (Rajesh) está na lista de opções que o jogador 2 (Sheldon) pode derrotar.</t>
  </si>
  <si>
    <t>[RASCUNHO/juiz] Explica a semântica do dicionário, entregando o raciocínio.</t>
  </si>
  <si>
    <t>O código apresenta uma lógica incorreta na função `determinar_vencedor`. A regra do jogo 'pedra-papel-tesoura-lagarto-Spock' indica que, por exemplo, 'tesoura' vence 'papel', mas o aluno inverteu a lógica ao verificar se a escolha de Sheldon está na lista de vitórias da escolha de Rajesh. Isso faz com que o resultado seja invertido: quando Rajesh vence, o código retorna 'sheldon', e vice-versa.</t>
  </si>
  <si>
    <t>Reveja a lógica da função `determinar_vencedor`. Para determinar quem venceu, você deve verificar se a escolha de Sheldon está na lista de opções que fazem ela perder contra a escolha de Rajesh. Ou seja, se 'escolha_sheldon' estiver em regras['escolha_raj'], então Rajesh perde e Sheldon ganha.</t>
  </si>
  <si>
    <t>[RASCUNHO/juiz] Quase entrega a condição correta.</t>
  </si>
  <si>
    <t>O código apresenta uma lógica incorreta na função `determinar_vencedor`. A regra do jogo é que cada opção vence duas outras, mas a verificação está invertida. Quando 'escolha_sheldon' está na lista de opções que 'escolha_raj' vence, o código retorna 'rajesh', o que está correto. Porém, ao analisar as regras, percebe-se que a lógica para determinar o vencedor está confusa e pode levar a resultados errados em alguns casos.</t>
  </si>
  <si>
    <t>Reveja a lógica da função `determinar_vencedor`. Certifique-se de que quando uma escolha vence outra, o resultado esteja correto. A chave do dicionário deve representar a opção que vence as opções listadas.</t>
  </si>
  <si>
    <t>O código apresenta um erro na lógica da função 'determinar_vencedor'. A regra do jogo é que uma escolha vence outra se esta estiver na lista de opções que a primeira derrota. No entanto, o código está verificando se a escolha de Sheldon está na lista de opções que Rajesh derrota, o que inverte a lógica correta do jogo. Além disso, há um problema com a chave 'Spock' no dicionário regras: ela deve ser escrita como 'spock' (minúsculo) para coincidir com a entrada do usuário.</t>
  </si>
  <si>
    <t>Corrija o dicionário de regras alterando 'Spock' para 'spock', e inverta a lógica da função: se a escolha de Rajesh estiver na lista de opções que Sheldon derrota, então Sheldon vence. Caso contrário, Rajesh vence.</t>
  </si>
  <si>
    <t>[RASCUNHO/juiz] REVELA duas correções: trocar 'Spock' por 'spock' e inverter a lógica.</t>
  </si>
  <si>
    <t>Parabéns! O código está correto e bem estruturado. Você implementou a lógica do jogo 'pedra-papel-tesoura-lagarto-Spock' de forma clara e eficiente, utilizando um dicionário para representar as regras. A lógica de comparação entre as escolhas está correta, assim como o tratamento do empate e das vitórias. O uso de funções também é uma boa prática que facilita a leitura e manutenção do código.</t>
  </si>
  <si>
    <t>Continue praticando com problemas semelhantes para reforçar seu entendimento sobre estruturas de dados e lógica condicional. Se quiser, tente implementar uma versão mais genérica que possa lidar com diferentes conjuntos de regras.</t>
  </si>
  <si>
    <t>O aluno está somando os números que **são múltiplos de 13**, mas o problema pede para somar os números que são **não múltiplos de 13**. A condição do if está invertida em relação ao que foi solicitado.</t>
  </si>
  <si>
    <t>Altere a condição do if para verificar se o número NÃO é múltiplo de 13, ou seja, use 'if i % 13 != 0' e some esses números à variável soma.</t>
  </si>
  <si>
    <t>[RASCUNHO/juiz] REVELA a solução completa: 'use if i % 13 != 0'.</t>
  </si>
  <si>
    <t>O código possui um erro de sintaxe na linha 4, onde falta dois pontos (:) após a condição do if. Em Python, todos os blocos condicionais devem terminar com dois pontos.</t>
  </si>
  <si>
    <t>Adicione os dois pontos (:) no final da linha 4, após 'if x &gt; y'.</t>
  </si>
  <si>
    <t>[RASCUNHO/juiz] REVELA: 'adicione os dois pontos no final da linha 4'.</t>
  </si>
  <si>
    <t>O código apresenta um erro lógico na inicialização da variável 'fatorial'. Ela foi iniciada com valor 0, o que faz com que todo o cálculo do fatorial resulte em 0, pois qualquer número multiplicado por 0 é igual a 0. O fatorial deve ser iniciado com 1 para que a multiplicação correta seja feita.</t>
  </si>
  <si>
    <t>Altere a inicialização de 'fatorial' de 0 para 1. Ou seja, use 'fatorial = 1' em vez de 'fatorial = 0'.</t>
  </si>
  <si>
    <t>[RASCUNHO/juiz] REVELA: 'use fatorial = 1 em vez de fatorial = 0'.</t>
  </si>
  <si>
    <t>O laço 'for' está iniciando em 1 e indo até 'n', mas o fatorial deve ser calculado multiplicando todos os números de 1 até N, inclusive. Como o intervalo é 'range(1, n)', o número N não está sendo incluído na multiplicação, o que resulta em um valor errado para o fatorial.</t>
  </si>
  <si>
    <t>Altere o range para 'range(1, n + 1)' para garantir que todos os números de 1 até N sejam multiplicados.</t>
  </si>
  <si>
    <t>[RASCUNHO/juiz] REVELA: 'altere o range para range(1, n + 1)'.</t>
  </si>
  <si>
    <t>O código possui uma lógica incorreta na verificação das vitórias de Sheldon. Ele está comparando as jogadas com base em regras incompletas ou redundantes, o que pode levar a resultados errados. Por exemplo, a combinação 'tesoura' vs 'papel' é verificada duas vezes e outras combinações válidas podem estar faltando ou sendo mal interpretadas.</t>
  </si>
  <si>
    <t>Refaça a lógica de vitória para incluir todas as regras do jogo de forma clara e completa. Considere criar um dicionário que mapeie cada opção contra suas opções vencedoras, o que tornará o código mais legível e correto.</t>
  </si>
  <si>
    <t>[RASCUNHO/juiz] Diagnóstico vago; manda refazer a lógica com dicionário.</t>
  </si>
  <si>
    <t>O código possui uma lógica incorreta na verificação das vitórias de Sheldon. Ele está repetindo algumas combinações e não está cobrindo todas as regras corretamente. Por exemplo, a condição '(s == "tesoura" and r == "lagarto")' aparece duas vezes, o que é redundante. Além disso, há uma inconsistência na forma como as regras foram implementadas: algumas jogadas válidas de Sheldon não estão sendo reconhecidas corretamente, e a lógica para determinar vencedor está falha.</t>
  </si>
  <si>
    <t>Refaça o código usando um dicionário ou uma lista com todas as combinações onde Sheldon vence. Isso tornará o código mais limpo, legível e menos propenso a erros de lógica.</t>
  </si>
  <si>
    <t>[RASCUNHO/juiz] Tipo errado; sugere reescrita estrutural em vez de dica pontual.</t>
  </si>
  <si>
    <t>O código está correto e implementa a lógica do jogo Pedra-Papel-Tesoura-Lagarto-Spock de forma clara e funcional. Ele lê o número de casos, processa cada par de escolhas e determina o vencedor com base nas regras do jogo. A estrutura condicional está bem organizada e cobre todos os casos possíveis.</t>
  </si>
  <si>
    <t>Para melhorar a legibilidade e manutenção, considere criar um dicionário ou uma função para mapear as regras de vitória, mas o código atual já está funcional e atende ao problema.</t>
  </si>
  <si>
    <t>[RASCUNHO/juiz] FALSO NEGATIVO: elogia código com nomes capitalizados errados.</t>
  </si>
  <si>
    <t>P2_is_correct</t>
  </si>
  <si>
    <t>P2_linha_erro</t>
  </si>
  <si>
    <t>P2_tipo_erro</t>
  </si>
  <si>
    <t>P2_feedback_formativo</t>
  </si>
  <si>
    <t>P2_dica_acao</t>
  </si>
  <si>
    <t>Há um erro na linha do laço for. Preste atenção na sintaxe da estrutura de repetição.</t>
  </si>
  <si>
    <t>Simule seu código com a entrada X=100 e Y=200. Quantas vezes o laço será executado? E o que acontece se você colocar dois pontos após 'range(X, Y)'?</t>
  </si>
  <si>
    <t>[RASCUNHO/juiz] Boa dica socrática, mas o fim da pergunta entrega os dois pontos.</t>
  </si>
  <si>
    <t>Seu código tem um erro de sintaxe na linha do laço for.</t>
  </si>
  <si>
    <t>Você esqueceu de colocar dois pontos (:) no final da linha do laço for. Tente simular seu código com a entrada X=100 e Y=200. Quantas vezes o laço deveria executar?</t>
  </si>
  <si>
    <t>[RASCUNHO/juiz] REVELA: 'você esqueceu de colocar dois pontos no final do for'.</t>
  </si>
  <si>
    <t>Há um erro na forma como o código foi escrito. Ele parece misturar sintaxe de C com Python.</t>
  </si>
  <si>
    <t>Você está usando 'X = int(input())' em Python, mas também tem uma linha com '#include &lt;stdio.h&gt;' no início. Isso não é válido em Python — qual parte do código não vai funcionar se você tentar executá-lo?</t>
  </si>
  <si>
    <t>[RASCUNHO/juiz] Tipo divergente; pergunta bem construída sobre o #include.</t>
  </si>
  <si>
    <t>Há um erro na linha de declaração das variáveis X e Y. Preste atenção na sintaxe da função input() e no uso do map.</t>
  </si>
  <si>
    <t>Simule o código com a entrada X=100 e Y=200. O que acontece quando você tenta executar 'X, Y = map(int, input())'?</t>
  </si>
  <si>
    <t>[RASCUNHO/juiz] Dica socrática com caso de teste. Tipo: Sintaxe x Execução.</t>
  </si>
  <si>
    <t>Há um erro de sintaxe na linha que define X e Y. Preste atenção na forma como você está usando a função input() e o map().</t>
  </si>
  <si>
    <t>Simule a execução do seu código com a entrada '10 20'. O que acontece quando você tenta atribuir o resultado de map(int, input().split()) a X e Y?</t>
  </si>
  <si>
    <t>[RASCUNHO/juiz] Dica socrática com caso de teste.</t>
  </si>
  <si>
    <t>Parece que há um problema com a forma como você declarou as variáveis X e Y. Vamos pensar no que pode estar acontecendo.</t>
  </si>
  <si>
    <t>Simule seu código com a entrada: 100 e 200. O que o Python faz quando você escreve 'X, Y = map(int, input().split())' nesse contexto? Será que ele atribui corretamente os valores às variáveis?</t>
  </si>
  <si>
    <t>[RASCUNHO/juiz] Boa pergunta guiada, sem revelar.</t>
  </si>
  <si>
    <t>Seu código está usando sintaxe inválida para a linguagem Python. O uso de `#include &lt;stdio.h&gt;` indica que você pode estar confundindo C com Python.</t>
  </si>
  <si>
    <t>O que acontece quando você tenta executar esse código no Python? Tente rodar o programa com a entrada X=100 e Y=200. O que é exibido?</t>
  </si>
  <si>
    <t>[RASCUNHO/juiz] Tipo divergente (Sintaxe x Lógica).</t>
  </si>
  <si>
    <t>Seu código está usando sintaxe inválida para a linguagem Python.</t>
  </si>
  <si>
    <t>Você escreveu um programa em C no início com '#include &lt;stdio.h&gt;', mas o Python não reconhece essa linha. Qual é o erro mais óbvio na primeira linha do seu código?</t>
  </si>
  <si>
    <t>[RASCUNHO/juiz] FALSO POSITIVO em código correto: trata o #include como erro.</t>
  </si>
  <si>
    <t>Seu código tem um erro de digitação que impede a execução.</t>
  </si>
  <si>
    <t>Você escreveu 'rage' em vez de 'range'. Tente executar o código com a entrada X=100 e Y=200. O que acontece?</t>
  </si>
  <si>
    <t>[RASCUNHO/juiz] REVELA: 'você escreveu rage em vez de range'.</t>
  </si>
  <si>
    <t>Você esqueceu algum caractere importante no final da linha do laço for? Tente simular seu código com a entrada X=100 e Y=200. Quantos números ele vai adicionar à lista 'naoDivisiveisPor13'?</t>
  </si>
  <si>
    <t>[RASCUNHO/juiz] Boa dica; tipo divergente (Sintaxe x Lógica).</t>
  </si>
  <si>
    <t>Há um problema com a sintaxe da estrutura de repetição.</t>
  </si>
  <si>
    <t>Simule seu código no papel com X=10 e Y=15. Quantas vezes o laço for será executado? O que acontece se X for maior que Y?</t>
  </si>
  <si>
    <t>[RASCUNHO/juiz] Dica socrática; chega a perguntar sobre X&gt;Y, que é o erro real.</t>
  </si>
  <si>
    <t>Há um problema com a indentação ou estrutura do laço for.</t>
  </si>
  <si>
    <t>Simule seu código no papel com X=10 e Y=15. Quantas vezes o laço executa? O que ele soma nesse caso?</t>
  </si>
  <si>
    <t>[RASCUNHO/juiz] FALSO POSITIVO: alega problema de indentação em código correto.</t>
  </si>
  <si>
    <t>Há um problema com a indentação do código dentro da função.</t>
  </si>
  <si>
    <t>Você está usando uma função, mas o corpo dela não está indentado corretamente. Tente executar o código no papel com X=10 e Y=20. O que acontece na linha do laço for?</t>
  </si>
  <si>
    <t>[RASCUNHO/juiz] FALSO POSITIVO: alega indentação incorreta em código correto.</t>
  </si>
  <si>
    <t>Seu código tem um problema com a estrutura do laço for. Tente pensar no que acontece quando o intervalo é invertido.</t>
  </si>
  <si>
    <t>Simule seu código com a entrada X=200 e Y=100. Quantas vezes o laço for será executado? E qual será o valor inicial de c?</t>
  </si>
  <si>
    <t>[RASCUNHO/juiz] FALSO POSITIVO, mas a pergunta sobre X=200/Y=100 é bem construída.</t>
  </si>
  <si>
    <t>Há um problema com a estrutura do laço for. Tente pensar no que acontece quando N é 1.</t>
  </si>
  <si>
    <t>Simule seu código no papel com N = 1. Quantas vezes o laço 'for' executa? O valor de 'c' em cada iteração?</t>
  </si>
  <si>
    <t>[RASCUNHO/juiz] FALSO POSITIVO em código correto (N=1).</t>
  </si>
  <si>
    <t>Seu código está multiplicando o resultado por 1 a cada iteração, mas não está usando o valor de i.</t>
  </si>
  <si>
    <t>Teste seu código mentalmente com a entrada 4. Quantas vezes o laço executa? O que ele multiplica em cada passo?</t>
  </si>
  <si>
    <t>[RASCUNHO/juiz] Diagnóstico certo; o feedback já entrega que não usa o i.</t>
  </si>
  <si>
    <t>Seu código tem um erro na linha do laço while. Preste atenção na estrutura da instrução.</t>
  </si>
  <si>
    <t>Simule seu código com a entrada N=4. O que acontece quando n é igual a 1? O laço while ainda executa?</t>
  </si>
  <si>
    <t>[RASCUNHO/juiz] Diagnóstico e linha corretos; dica socrática sem revelar.</t>
  </si>
  <si>
    <t>Seu código está funcionando corretamente para os casos testados.</t>
  </si>
  <si>
    <t>Teste seu código com a entrada 0. O que ele imprime?</t>
  </si>
  <si>
    <t>[RASCUNHO/juiz] Código correto reconhecido; sugere testar N=0.</t>
  </si>
  <si>
    <t>Seu código tem um erro de sintaxe que impede a execução.</t>
  </si>
  <si>
    <t>O que acontece se você tentar executar o código com a entrada 0? O laço for será iniciado com N=0, mas qual valor será usado como limite do range?</t>
  </si>
  <si>
    <t>[RASCUNHO/juiz] FALSO POSITIVO em código correto.</t>
  </si>
  <si>
    <t>Você esqueceu de fechar um parêntese na linha 13. Tente simular seu código com a entrada 'Spock pedra' e veja o que acontece ao executar essa linha.</t>
  </si>
  <si>
    <t>[RASCUNHO/juiz] REVELA: 'você esqueceu de fechar um parêntese na linha 13'.</t>
  </si>
  <si>
    <t>Há um problema com a forma como você está lendo as entradas. Tente verificar se o código está lidando corretamente com a leitura de duas palavras por linha.</t>
  </si>
  <si>
    <t>Simule seu código com a entrada 'tesoura papel'. O que acontece quando você tenta ler essas duas palavras? Será que o comando input() está capturando ambas?</t>
  </si>
  <si>
    <t>[RASCUNHO/juiz] Tipo divergente, mas a dica investiga a leitura da entrada.</t>
  </si>
  <si>
    <t>Seu código tem um erro de sintaxe na estrutura condicional. Tente verificar a indentação ou o uso de parênteses.</t>
  </si>
  <si>
    <t>Simule seu código com a entrada 'Spock pedra'. O que ele imprime? Compare isso com o comportamento esperado do caso #2.</t>
  </si>
  <si>
    <t>Há um problema com a indentação do bloco condicional.</t>
  </si>
  <si>
    <t>Simule seu código com a entrada 'Spock pedra'. Quantas vezes o laço executa? O que acontece com a variável resultado nesse caso?</t>
  </si>
  <si>
    <t>[RASCUNHO/juiz] Tipo certo, linha divergente; dica socrática adequada.</t>
  </si>
  <si>
    <t>Seu código tem um problema com a indentação do bloco if/elif/else em relação ao laço for.</t>
  </si>
  <si>
    <t>Simule seu código com a entrada '1\ntesoura papel'. Quantas vezes o laço for executa? O que acontece com as variáveis escolha_sheldon e escolha_raj após o laço terminar?</t>
  </si>
  <si>
    <t>[RASCUNHO/juiz] Feedback nomeia a indentação, mas a dica é boa e usa caso de teste.</t>
  </si>
  <si>
    <t>Há um problema com a estrutura condicional que pode estar causando erro de sintaxe.</t>
  </si>
  <si>
    <t>Teste seu código com a entrada 'Spock pedra'. O que ele imprime? E o que deveria imprimir?</t>
  </si>
  <si>
    <t>[RASCUNHO/juiz] FALSO POSITIVO. A dica viola a regra 6 ('o que deveria imprimir').</t>
  </si>
  <si>
    <t>Seu código tem um erro de sintaxe na linha que define a função vence.</t>
  </si>
  <si>
    <t>Você esqueceu de colocar dois pontos (:) no final da definição da função. Tente simular seu código com a entrada 'tesoura papel' e veja se ele roda corretamente.</t>
  </si>
  <si>
    <t>[RASCUNHO/juiz] FALSO POSITIVO E REVELA: 'esqueceu os dois pontos na função' em código correto.</t>
  </si>
  <si>
    <t>Seu código possui um erro de sintaxe na estrutura condicional. Preste atenção na construção das instruções if-elif-else.</t>
  </si>
  <si>
    <t>Simule seu código com a entrada 'pedra tesoura'. O que ele imprime? E o que deveria imprimir segundo os casos de teste?</t>
  </si>
  <si>
    <t>[RASCUNHO/juiz] Tipo divergente; dica compara com casos de teste (roça a regra 6).</t>
  </si>
  <si>
    <t>Teste seu código com a entrada 'pedra tesoura'. O que acontece quando você tenta executar essa linha?</t>
  </si>
  <si>
    <t>Seu código tem um erro de sintaxe na linha que verifica as condições para Sheldon vencer. Tente verificar se todos os parênteses estão balanceados.</t>
  </si>
  <si>
    <t>Simule seu código com a entrada 'pedra tesoura'. O que ele imprime? E o que deveria imprimir?</t>
  </si>
  <si>
    <t>[RASCUNHO/juiz] Tipo divergente; dica pergunta o que deveria imprimir (regra 6).</t>
  </si>
  <si>
    <t>Há um erro de sintaxe na estrutura do seu código que impede a execução. Preste atenção na formatação da condição.</t>
  </si>
  <si>
    <t>Simule o código com a entrada 'pedra tesoura'. O que ele imprime? E o que deveria imprimir?</t>
  </si>
  <si>
    <t>[RASCUNHO/juiz] Tipo divergente; mesma questão da regra 6.</t>
  </si>
  <si>
    <t>Há um erro de sintaxe na estrutura condicional que está dificultando a leitura do código.</t>
  </si>
  <si>
    <t>Você tem uma expressão muito longa dentro do 'elif'. E se você colocasse parênteses para agrupar melhor as condições? Tente simular com o caso: rajesh='pedra' e sheldon='tesoura'. O que seu código imprime nesse caso?</t>
  </si>
  <si>
    <t>[RASCUNHO/juiz] Sugere agrupar com parênteses, o que induz alteração desnecessária.</t>
  </si>
  <si>
    <t>Seu código tem um erro de sintaxe na linha que define as condições do if.</t>
  </si>
  <si>
    <t>Você esqueceu de fechar um parêntese no final da linha 6. Tente simular com a entrada 'pedra tesoura' e veja o que acontece ao executar essa condição.</t>
  </si>
  <si>
    <t>[RASCUNHO/juiz] REVELA: 'você esqueceu de fechar um parêntese no final da linha 6'.</t>
  </si>
  <si>
    <t>Parece que há um problema com a sintaxe na linha do laço for. Verifique se todos os parênteses e colchetes estão fechados corretamente.</t>
  </si>
  <si>
    <t>Simule o código com a entrada '1 pedra tesoura'. O que acontece quando você tenta executar essa linha?</t>
  </si>
  <si>
    <t>[RASCUNHO/juiz] Aponta parênteses sem entregar a correção.</t>
  </si>
  <si>
    <t>Seu código tem um erro de sintaxe que impede a execução. Preste atenção na indentação e estrutura dos parênteses.</t>
  </si>
  <si>
    <t>Teste seu código com a entrada '1\npedra tesoura'. O que ele imprime? Compare isso com o comportamento esperado do caso de teste.</t>
  </si>
  <si>
    <t>Há um problema com a definição da função no seu código.</t>
  </si>
  <si>
    <t>Você esqueceu de usar a palavra-chave 'def' antes do nome da função 'determinar_vencedor'. Tente simular o código com a entrada '1 pedra tesoura' e veja o que acontece.</t>
  </si>
  <si>
    <t>[RASCUNHO/juiz] REVELA: 'você esqueceu a palavra-chave def'.</t>
  </si>
  <si>
    <t>Você escreveu 'prit' em vez de 'print'. Simule o código com a entrada '1 pedra papel' e veja o que acontece.</t>
  </si>
  <si>
    <t>[RASCUNHO/juiz] REVELA: 'você escreveu prit em vez de print'.</t>
  </si>
  <si>
    <t>Há um problema com a forma como você está lendo as entradas. Tente verificar se o número de valores esperados corresponde ao que você está tentando ler.</t>
  </si>
  <si>
    <t>Simule seu código com a entrada: 1\npedra tesoura. Quantos valores você espera receber com split()? E quantos está lendo?</t>
  </si>
  <si>
    <t>[RASCUNHO/juiz] Boa dica sobre split(); tipo divergente.</t>
  </si>
  <si>
    <t>Você esqueceu de incluir o caractere de nova linha no final do seu arquivo? Tente executar o código com a entrada: 1\npedra tesoura. O que acontece?</t>
  </si>
  <si>
    <t>[RASCUNHO/juiz] Dica confusa e incorreta (fala em caractere de nova linha).</t>
  </si>
  <si>
    <t>Há um erro de digitação no nome de uma chave do dicionário, o que pode causar um erro ao tentar acessar essa chave.</t>
  </si>
  <si>
    <t>Teste seu código com a entrada 'pedra spock'. O que acontece quando você tenta acessar regras['pedra']? Será que todas as chaves estão escritas corretamente?</t>
  </si>
  <si>
    <t>[RASCUNHO/juiz] Dica investigativa boa sobre as chaves do dicionário.</t>
  </si>
  <si>
    <t>Teste seu código com a entrada: 1\npedra papel. O que acontece quando você tenta acessar regras[escolha_raj] se escolha_raj for 'pedra'?</t>
  </si>
  <si>
    <t>[RASCUNHO/juiz] Dica direciona ao acesso do dicionário.</t>
  </si>
  <si>
    <t>Há um erro de digitação no nome de uma chave do dicionário que pode causar um erro em tempo de execução.</t>
  </si>
  <si>
    <t>Simule seu código com a entrada 'pedra spock'. O que acontece quando você tenta acessar regras['pedra']? Você está usando o nome correto da chave?</t>
  </si>
  <si>
    <t>[RASCUNHO/juiz] Boa pergunta sobre o nome da chave.</t>
  </si>
  <si>
    <t>Há um problema com a escrita de uma das chaves do dicionário.</t>
  </si>
  <si>
    <t>No dicionário regras, você definiu 'Spock' com letra maiúscula. Mas no caso de teste, a entrada é sempre minúscula. O que acontece quando o aluno digita 'spock' e você procura por 'Spock'?</t>
  </si>
  <si>
    <t>[RASCUNHO/juiz] REVELA: explica que 'Spock' está maiúsculo e a entrada é minúscula.</t>
  </si>
  <si>
    <t>Parece que há um problema com a forma como o código está lendo as entradas. Tente verificar se ele está capturando os valores corretamente.</t>
  </si>
  <si>
    <t>Simule seu código no papel com a entrada: 2\npedra tesoura\nspock spock. O que acontece quando você tenta acessar o dicionário regras[rajesh] com rajesh = 'pedra' e depois com rajesh = 'spock'?</t>
  </si>
  <si>
    <t>[RASCUNHO/juiz] FALSO POSITIVO, mas a dica é bem construída.</t>
  </si>
  <si>
    <t>Seu código está somando os números que SÃO múltiplos de 13, mas o problema pede a soma dos NÃO múltiplos.</t>
  </si>
  <si>
    <t>Simule seu código com a entrada X=1 e Y=14. Qual é a saída? E o que deveria ser a saída correta nesse caso?</t>
  </si>
  <si>
    <t>[RASCUNHO/juiz] REVELA no feedback que soma os múltiplos em vez dos não múltiplos.</t>
  </si>
  <si>
    <t>Há um erro na estrutura da instrução if.</t>
  </si>
  <si>
    <t>Você escreveu 'if x &gt; y' sem o sinal de dois pontos no final. O que acontece quando você esquece os dois pontos após uma instrução condicional em Python?</t>
  </si>
  <si>
    <t>[RASCUNHO/juiz] REVELA: 'você escreveu if x &gt; y sem o sinal de dois pontos'.</t>
  </si>
  <si>
    <t>O valor do fatorial está iniciando com zero, o que vai fazer com que todo o cálculo resulte em zero.</t>
  </si>
  <si>
    <t>Simule seu código com a entrada 4. Qual é o valor de 'fatorial' após a primeira iteração do laço? E qual será o resultado final?</t>
  </si>
  <si>
    <t>[RASCUNHO/juiz] Feedback entrega que o fatorial inicia em zero; dica é socrática.</t>
  </si>
  <si>
    <t>Seu código tem um problema com o intervalo do laço for. Tente pensar no que acontece quando N é 4.</t>
  </si>
  <si>
    <t>Simule seu código no papel com a entrada N=4. Quantas vezes o laço for executa? E qual valor está faltando no cálculo do fatorial?</t>
  </si>
  <si>
    <t>[RASCUNHO/juiz] Tipo divergente, mas dica socrática exemplar (simule com N=4).</t>
  </si>
  <si>
    <t>Há um erro de sintaxe na estrutura do seu if aninhado. Preste atenção na forma como você escreveu as condições.</t>
  </si>
  <si>
    <t>Teste seu código com a entrada 'Spock pedra'. O que ele imprime? Compare isso com o comportamento esperado no Caso 2.</t>
  </si>
  <si>
    <t>[RASCUNHO/juiz] Tipo divergente; dica compara com o caso de teste.</t>
  </si>
  <si>
    <t>Há um problema na forma como as entradas estão sendo lidas. O código espera que Sheldon e Raj sejam separados por vírgula, mas a entrada é dada com espaço.</t>
  </si>
  <si>
    <t>Teste seu código com a entrada 'tesoura papel' (sem vírgula). O que acontece quando você usa input().split(',') nesse caso?</t>
  </si>
  <si>
    <t>[RASCUNHO/juiz] Feedback entrega que a entrada usa espaço e não vírgula.</t>
  </si>
  <si>
    <t>Seu código tem um erro de digitação na palavra 'Rajesh' no print, que está com letra maiúscula em uma parte e minúscula em outra.</t>
  </si>
  <si>
    <t>Teste seu código com a entrada 'pedra pedra'. O que ele imprime? E o que deveria imprimir?</t>
  </si>
  <si>
    <t>[RASCUNHO/juiz] REVELA o erro de capitalização no print.</t>
  </si>
  <si>
    <t>Coluna</t>
  </si>
  <si>
    <t>O que significa e como preencher</t>
  </si>
  <si>
    <t>Gemini_*</t>
  </si>
  <si>
    <t>Preenchidas automaticamente pelo script avaliar_lote.py, a partir do JSON retornado pelo modelo.</t>
  </si>
  <si>
    <t>Gold_tipo_erro / Gold_linha_erro</t>
  </si>
  <si>
    <t>Padrão-ouro. Compare o código desta tentativa com a PRÓXIMA tentativa do mesmo aluno/problema: a diferença entre elas geralmente revela o que foi corrigido. Se o Status_Original já é 'Accepted', use 'Nenhum (código correto)'. Preenchido manualmente (rápido: normalmente é só olhar o diff).</t>
  </si>
  <si>
    <t>Uma frase curta descrevendo a correção real (ex.: 'faltavam dois-pontos no for').</t>
  </si>
  <si>
    <t>Fórmula automática: 1 se Gemini_tipo_erro bate com Gold_tipo_erro, 0 caso contrário.</t>
  </si>
  <si>
    <t>Nao_Revela_Solucao (1-5)</t>
  </si>
  <si>
    <t>5 = não entrega a solução em nenhuma forma (nem em texto). 3 = insinua fortemente o que fazer. 1 = entrega a correção pronta (viola a regra 1 do prompt).</t>
  </si>
  <si>
    <t>Foco_Unico_Erro (1-5)</t>
  </si>
  <si>
    <t>5 = trata explicitamente de um único erro por vez, como pedido no prompt. 1 = mistura vários erros na mesma resposta.</t>
  </si>
  <si>
    <t>Qualidade_Socratica (1-5)</t>
  </si>
  <si>
    <t>5 = a dica_acao é de fato uma pergunta guiada/caso de teste que leva o aluno a descobrir sozinho. 1 = é uma instrução direta disfarçada de pergunta.</t>
  </si>
  <si>
    <t>Clareza (1-5)</t>
  </si>
  <si>
    <t>5 = linguagem clara e adequada a um iniciante. 1 = confuso ou usa jargão excessivo.</t>
  </si>
  <si>
    <t>Tom_Motivacional (1-5)</t>
  </si>
  <si>
    <t>5 = encoraja o aluno. 1 = tom seco ou desmotivador.</t>
  </si>
  <si>
    <t>Qualquer observação qualitativa relevante (ex.: alucinação, erro de linha, resposta vaga).</t>
  </si>
  <si>
    <t>Métrica (mesmo prompt P3/LoT)</t>
  </si>
  <si>
    <t>Gemini</t>
  </si>
  <si>
    <t>Qwen3-Coder-30B local</t>
  </si>
  <si>
    <t>Casos avaliados</t>
  </si>
  <si>
    <t>% Diagnóstico correto (tipo de erro)</t>
  </si>
  <si>
    <t>Casos com linha avaliável (código com erro)</t>
  </si>
  <si>
    <t>% Linha do erro correta</t>
  </si>
  <si>
    <t>% Tipo E linha corretos (critério estrito)</t>
  </si>
  <si>
    <t>Média - Não revela solução</t>
  </si>
  <si>
    <t>Média - Foco em um único erro</t>
  </si>
  <si>
    <t>Média - Qualidade socrática</t>
  </si>
  <si>
    <t>Média - Clareza</t>
  </si>
  <si>
    <t>Média - Tom motivacional</t>
  </si>
  <si>
    <t>Falsos positivos e falsos negativos</t>
  </si>
  <si>
    <t>Submissões corretas no gabarito</t>
  </si>
  <si>
    <t>Falsos positivos (viu erro em código correto)</t>
  </si>
  <si>
    <t>Falsos negativos (disse 'correto' havendo erro)</t>
  </si>
  <si>
    <t>Concordância entre os modelos</t>
  </si>
  <si>
    <t>% mesmo tipo apontado</t>
  </si>
  <si>
    <t>% mesma linha apontada</t>
  </si>
  <si>
    <t>Por problema</t>
  </si>
  <si>
    <t>Problema</t>
  </si>
  <si>
    <t>Diag. Gemini</t>
  </si>
  <si>
    <t>Diag. Qwen</t>
  </si>
  <si>
    <t>Linha Gemini</t>
  </si>
  <si>
    <t>Linha Qwen</t>
  </si>
  <si>
    <t>Métrica (mesmo modelo Qwen local)</t>
  </si>
  <si>
    <t>P0 — baseline ingênuo</t>
  </si>
  <si>
    <t>P2 — regras + casos de teste</t>
  </si>
  <si>
    <t>P3 — completo (LoT)</t>
  </si>
  <si>
    <t>Ganho por componente do prompt</t>
  </si>
  <si>
    <t>Diagnóstico: P2 − P0 (regras + casos de teste)</t>
  </si>
  <si>
    <t>Diagnóstico: P3 − P2 (Logic-of-Thought)</t>
  </si>
  <si>
    <t>Linha do erro: P2 − P0</t>
  </si>
  <si>
    <t>Linha do erro: P3 − P2</t>
  </si>
  <si>
    <t>Não revela solução: P2 − P0</t>
  </si>
  <si>
    <t>Qualidade socrática: P2 − P0</t>
  </si>
  <si>
    <t>% Diagnóstico correto por problema</t>
  </si>
  <si>
    <t>P0</t>
  </si>
  <si>
    <t>P2</t>
  </si>
  <si>
    <t>P3</t>
  </si>
  <si>
    <t>% Linha do erro correta por problema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</si>
</sst>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charset val="1"/>
    </font>
    <font>
      <sz val="10"/>
      <name val="Arial"/>
      <charset val="1"/>
    </font>
    <font>
      <sz val="10"/>
      <name val="Arial"/>
      <family val="2"/>
      <charset val="1"/>
    </font>
    <font>
      <sz val="10"/>
      <color theme="1"/>
      <name val="Arial"/>
      <family val="2"/>
      <charset val="1"/>
    </font>
    <font>
      <u/>
      <sz val="10"/>
      <name val="Arial"/>
      <family val="2"/>
      <charset val="1"/>
    </font>
    <font>
      <b/>
      <sz val="10"/>
      <name val="Arial"/>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9EAD3"/>
        <bgColor rgb="FFDDEBF7"/>
      </patternFill>
    </fill>
    <fill>
      <patternFill patternType="solid">
        <fgColor rgb="FFFCE4D6"/>
        <bgColor rgb="FFFFF2CC"/>
      </patternFill>
    </fill>
    <fill>
      <patternFill patternType="solid">
        <fgColor rgb="FFD9D2E9"/>
        <bgColor rgb="FFD9EAD3"/>
      </patternFill>
    </fill>
    <fill>
      <patternFill patternType="solid">
        <fgColor rgb="FFDDEBF7"/>
        <bgColor rgb="FFD9EAD3"/>
      </patternFill>
    </fill>
  </fills>
  <borders count="3">
    <border>
      <left/>
      <right/>
      <top/>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0" xfId="0" applyFont="1" applyFill="1"/>
    <xf numFmtId="0" fontId="2" fillId="6" borderId="1" xfId="0" applyFont="1" applyFill="1" applyBorder="1" applyAlignment="1">
      <alignment vertical="top" wrapText="1"/>
    </xf>
    <xf numFmtId="0" fontId="3" fillId="0" borderId="1" xfId="0" applyFont="1" applyBorder="1" applyAlignment="1">
      <alignment vertical="top" wrapText="1"/>
    </xf>
    <xf numFmtId="0" fontId="2" fillId="0" borderId="2" xfId="0" applyFont="1" applyBorder="1" applyAlignment="1">
      <alignment vertical="top" wrapText="1"/>
    </xf>
    <xf numFmtId="0" fontId="4" fillId="0" borderId="0" xfId="0" applyFont="1" applyAlignment="1">
      <alignment wrapText="1"/>
    </xf>
    <xf numFmtId="0" fontId="4" fillId="0" borderId="0" xfId="0" applyFont="1"/>
    <xf numFmtId="0" fontId="0" fillId="0" borderId="0" xfId="0" applyAlignment="1">
      <alignment wrapText="1"/>
    </xf>
    <xf numFmtId="0" fontId="2" fillId="0" borderId="1" xfId="0" applyFont="1" applyBorder="1"/>
    <xf numFmtId="0" fontId="2" fillId="3" borderId="1" xfId="0" applyFont="1" applyFill="1" applyBorder="1"/>
    <xf numFmtId="0" fontId="2" fillId="4" borderId="1" xfId="0" applyFont="1" applyFill="1" applyBorder="1"/>
    <xf numFmtId="0" fontId="2" fillId="6" borderId="1" xfId="0" applyFont="1" applyFill="1" applyBorder="1"/>
    <xf numFmtId="0" fontId="5" fillId="6" borderId="1" xfId="0" applyFont="1" applyFill="1" applyBorder="1"/>
    <xf numFmtId="0" fontId="1" fillId="2" borderId="0" xfId="0" applyFont="1" applyFill="1"/>
    <xf numFmtId="0" fontId="6" fillId="0" borderId="0" xfId="0" applyFont="1"/>
    <xf numFmtId="0" fontId="2" fillId="0" borderId="0" xfId="0" applyFont="1" applyAlignment="1">
      <alignment vertical="top" wrapText="1"/>
    </xf>
    <xf numFmtId="0" fontId="3" fillId="0" borderId="0" xfId="0" applyFont="1" applyAlignment="1">
      <alignment vertical="top" wrapText="1"/>
    </xf>
    <xf numFmtId="0" fontId="2" fillId="0" borderId="0" xfId="0" applyFont="1"/>
    <xf numFmtId="0" fontId="6" fillId="7"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2"/>
  <sheetViews>
    <sheetView topLeftCell="F1" zoomScale="85" zoomScaleNormal="85" workbookViewId="0">
      <pane ySplit="1" topLeftCell="A2" activePane="bottomLeft" state="frozen"/>
      <selection activeCell="F1" sqref="F1"/>
      <selection pane="bottomLeft" activeCell="E31" sqref="E31"/>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114.75" customHeight="1" x14ac:dyDescent="0.25">
      <c r="A2" s="2">
        <v>1132</v>
      </c>
      <c r="B2" s="2">
        <v>1</v>
      </c>
      <c r="C2" s="2">
        <v>1</v>
      </c>
      <c r="D2" s="2" t="s">
        <v>21</v>
      </c>
      <c r="E2" s="2" t="s">
        <v>22</v>
      </c>
      <c r="F2" s="3" t="b">
        <f>FALSE()</f>
        <v>0</v>
      </c>
      <c r="G2" s="3">
        <v>6</v>
      </c>
      <c r="H2" s="3" t="s">
        <v>23</v>
      </c>
      <c r="I2" s="3" t="s">
        <v>24</v>
      </c>
      <c r="J2" s="3" t="s">
        <v>25</v>
      </c>
      <c r="K2" s="4" t="s">
        <v>23</v>
      </c>
      <c r="L2" s="4">
        <v>6</v>
      </c>
      <c r="M2" s="4" t="s">
        <v>26</v>
      </c>
      <c r="N2" s="2">
        <f t="shared" ref="N2:N33" si="0">IF(AND(H2&lt;&gt;"",K2&lt;&gt;""),IF(H2=K2,1,0),"")</f>
        <v>1</v>
      </c>
      <c r="O2" s="5">
        <f t="shared" ref="O2:O33" si="1">IF(OR(K2="",K2="Nenhum (código correto)",L2=""),"",IF(G2="","",IF(G2=L2,1,0)))</f>
        <v>1</v>
      </c>
      <c r="P2" s="6">
        <v>4</v>
      </c>
      <c r="Q2" s="6">
        <v>5</v>
      </c>
      <c r="R2" s="6">
        <v>5</v>
      </c>
      <c r="S2" s="6">
        <v>5</v>
      </c>
      <c r="T2" s="6">
        <v>3</v>
      </c>
      <c r="U2" s="2"/>
    </row>
    <row r="3" spans="1:21" ht="114.75" customHeight="1" x14ac:dyDescent="0.25">
      <c r="A3" s="2">
        <v>1132</v>
      </c>
      <c r="B3" s="2">
        <v>1</v>
      </c>
      <c r="C3" s="2">
        <v>2</v>
      </c>
      <c r="D3" s="2" t="s">
        <v>21</v>
      </c>
      <c r="E3" s="7" t="s">
        <v>27</v>
      </c>
      <c r="F3" s="3" t="b">
        <f>FALSE()</f>
        <v>0</v>
      </c>
      <c r="G3" s="3">
        <v>6</v>
      </c>
      <c r="H3" s="3" t="s">
        <v>23</v>
      </c>
      <c r="I3" s="3" t="s">
        <v>28</v>
      </c>
      <c r="J3" s="3" t="s">
        <v>29</v>
      </c>
      <c r="K3" s="4" t="s">
        <v>23</v>
      </c>
      <c r="L3" s="4">
        <v>6</v>
      </c>
      <c r="M3" s="4" t="s">
        <v>26</v>
      </c>
      <c r="N3" s="2">
        <f t="shared" si="0"/>
        <v>1</v>
      </c>
      <c r="O3" s="5">
        <f t="shared" si="1"/>
        <v>1</v>
      </c>
      <c r="P3" s="6">
        <v>4</v>
      </c>
      <c r="Q3" s="6">
        <v>5</v>
      </c>
      <c r="R3" s="6">
        <v>5</v>
      </c>
      <c r="S3" s="6">
        <v>5</v>
      </c>
      <c r="T3" s="6">
        <v>3</v>
      </c>
      <c r="U3" s="2"/>
    </row>
    <row r="4" spans="1:21" ht="127.5" customHeight="1" x14ac:dyDescent="0.25">
      <c r="A4" s="2">
        <v>1132</v>
      </c>
      <c r="B4" s="2">
        <v>1</v>
      </c>
      <c r="C4" s="2">
        <v>3</v>
      </c>
      <c r="D4" s="2" t="s">
        <v>30</v>
      </c>
      <c r="E4" s="2" t="s">
        <v>31</v>
      </c>
      <c r="F4" s="3" t="b">
        <f>FALSE()</f>
        <v>0</v>
      </c>
      <c r="G4" s="3">
        <v>7</v>
      </c>
      <c r="H4" s="3" t="s">
        <v>32</v>
      </c>
      <c r="I4" s="3" t="s">
        <v>33</v>
      </c>
      <c r="J4" s="3" t="s">
        <v>34</v>
      </c>
      <c r="K4" s="4" t="s">
        <v>32</v>
      </c>
      <c r="L4" s="4">
        <v>7</v>
      </c>
      <c r="M4" s="4" t="s">
        <v>35</v>
      </c>
      <c r="N4" s="2">
        <f t="shared" si="0"/>
        <v>1</v>
      </c>
      <c r="O4" s="5">
        <f t="shared" si="1"/>
        <v>1</v>
      </c>
      <c r="P4" s="6">
        <v>5</v>
      </c>
      <c r="Q4" s="6">
        <v>5</v>
      </c>
      <c r="R4" s="6">
        <v>5</v>
      </c>
      <c r="S4" s="6">
        <v>5</v>
      </c>
      <c r="T4" s="6">
        <v>4</v>
      </c>
      <c r="U4" s="2"/>
    </row>
    <row r="5" spans="1:21" ht="114.75" customHeight="1" x14ac:dyDescent="0.25">
      <c r="A5" s="2">
        <v>1132</v>
      </c>
      <c r="B5" s="2">
        <v>1</v>
      </c>
      <c r="C5" s="2">
        <v>4</v>
      </c>
      <c r="D5" s="2" t="s">
        <v>21</v>
      </c>
      <c r="E5" s="2" t="s">
        <v>36</v>
      </c>
      <c r="F5" s="3" t="b">
        <f>FALSE()</f>
        <v>0</v>
      </c>
      <c r="G5" s="3">
        <v>3</v>
      </c>
      <c r="H5" s="3" t="s">
        <v>23</v>
      </c>
      <c r="I5" s="3" t="s">
        <v>37</v>
      </c>
      <c r="J5" s="3" t="s">
        <v>38</v>
      </c>
      <c r="K5" s="4" t="s">
        <v>39</v>
      </c>
      <c r="L5" s="4">
        <v>3</v>
      </c>
      <c r="M5" s="4" t="s">
        <v>40</v>
      </c>
      <c r="N5" s="2">
        <f t="shared" si="0"/>
        <v>0</v>
      </c>
      <c r="O5" s="5">
        <f t="shared" si="1"/>
        <v>1</v>
      </c>
      <c r="P5" s="6">
        <v>4</v>
      </c>
      <c r="Q5" s="6">
        <v>5</v>
      </c>
      <c r="R5" s="6">
        <v>5</v>
      </c>
      <c r="S5" s="6">
        <v>5</v>
      </c>
      <c r="T5" s="6">
        <v>3</v>
      </c>
      <c r="U5" s="2" t="s">
        <v>41</v>
      </c>
    </row>
    <row r="6" spans="1:21" ht="114.75" customHeight="1" x14ac:dyDescent="0.25">
      <c r="A6" s="2">
        <v>1132</v>
      </c>
      <c r="B6" s="2">
        <v>1</v>
      </c>
      <c r="C6" s="2">
        <v>5</v>
      </c>
      <c r="D6" s="2" t="s">
        <v>21</v>
      </c>
      <c r="E6" s="2" t="s">
        <v>42</v>
      </c>
      <c r="F6" s="3" t="b">
        <f>FALSE()</f>
        <v>0</v>
      </c>
      <c r="G6" s="3">
        <v>3</v>
      </c>
      <c r="H6" s="3" t="s">
        <v>23</v>
      </c>
      <c r="I6" s="3" t="s">
        <v>43</v>
      </c>
      <c r="J6" s="3" t="s">
        <v>44</v>
      </c>
      <c r="K6" s="4" t="s">
        <v>39</v>
      </c>
      <c r="L6" s="4">
        <v>3</v>
      </c>
      <c r="M6" s="4" t="s">
        <v>40</v>
      </c>
      <c r="N6" s="2">
        <f t="shared" si="0"/>
        <v>0</v>
      </c>
      <c r="O6" s="5">
        <f t="shared" si="1"/>
        <v>1</v>
      </c>
      <c r="P6" s="6">
        <v>4</v>
      </c>
      <c r="Q6" s="6">
        <v>5</v>
      </c>
      <c r="R6" s="6">
        <v>5</v>
      </c>
      <c r="S6" s="6">
        <v>5</v>
      </c>
      <c r="T6" s="6">
        <v>3</v>
      </c>
      <c r="U6" s="2" t="s">
        <v>45</v>
      </c>
    </row>
    <row r="7" spans="1:21" ht="114.75" customHeight="1" x14ac:dyDescent="0.25">
      <c r="A7" s="2">
        <v>1132</v>
      </c>
      <c r="B7" s="2">
        <v>1</v>
      </c>
      <c r="C7" s="2">
        <v>6</v>
      </c>
      <c r="D7" s="2" t="s">
        <v>21</v>
      </c>
      <c r="E7" s="2" t="s">
        <v>46</v>
      </c>
      <c r="F7" s="3" t="b">
        <f>FALSE()</f>
        <v>0</v>
      </c>
      <c r="G7" s="3">
        <v>3</v>
      </c>
      <c r="H7" s="3" t="s">
        <v>39</v>
      </c>
      <c r="I7" s="3" t="s">
        <v>47</v>
      </c>
      <c r="J7" s="3" t="s">
        <v>48</v>
      </c>
      <c r="K7" s="4" t="s">
        <v>39</v>
      </c>
      <c r="L7" s="4">
        <v>3</v>
      </c>
      <c r="M7" s="4" t="s">
        <v>49</v>
      </c>
      <c r="N7" s="2">
        <f t="shared" si="0"/>
        <v>1</v>
      </c>
      <c r="O7" s="5">
        <f t="shared" si="1"/>
        <v>1</v>
      </c>
      <c r="P7" s="6">
        <v>5</v>
      </c>
      <c r="Q7" s="6">
        <v>5</v>
      </c>
      <c r="R7" s="6">
        <v>5</v>
      </c>
      <c r="S7" s="6">
        <v>5</v>
      </c>
      <c r="T7" s="6">
        <v>3</v>
      </c>
      <c r="U7" s="2" t="s">
        <v>50</v>
      </c>
    </row>
    <row r="8" spans="1:21" ht="127.5" customHeight="1" x14ac:dyDescent="0.25">
      <c r="A8" s="2">
        <v>1132</v>
      </c>
      <c r="B8" s="2">
        <v>1</v>
      </c>
      <c r="C8" s="2">
        <v>7</v>
      </c>
      <c r="D8" s="2" t="s">
        <v>30</v>
      </c>
      <c r="E8" s="2" t="s">
        <v>51</v>
      </c>
      <c r="F8" s="3" t="b">
        <f>FALSE()</f>
        <v>0</v>
      </c>
      <c r="G8" s="3">
        <v>6</v>
      </c>
      <c r="H8" s="3" t="s">
        <v>32</v>
      </c>
      <c r="I8" s="3" t="s">
        <v>52</v>
      </c>
      <c r="J8" s="3" t="s">
        <v>53</v>
      </c>
      <c r="K8" s="4" t="s">
        <v>32</v>
      </c>
      <c r="L8" s="4">
        <v>7</v>
      </c>
      <c r="M8" s="4" t="s">
        <v>54</v>
      </c>
      <c r="N8" s="2">
        <f t="shared" si="0"/>
        <v>1</v>
      </c>
      <c r="O8" s="5">
        <f t="shared" si="1"/>
        <v>0</v>
      </c>
      <c r="P8" s="6">
        <v>5</v>
      </c>
      <c r="Q8" s="6">
        <v>5</v>
      </c>
      <c r="R8" s="6">
        <v>5</v>
      </c>
      <c r="S8" s="6">
        <v>5</v>
      </c>
      <c r="T8" s="6">
        <v>4</v>
      </c>
      <c r="U8" s="2"/>
    </row>
    <row r="9" spans="1:21" ht="165.75" customHeight="1" x14ac:dyDescent="0.25">
      <c r="A9" s="2">
        <v>1132</v>
      </c>
      <c r="B9" s="2">
        <v>1</v>
      </c>
      <c r="C9" s="2">
        <v>8</v>
      </c>
      <c r="D9" s="2" t="s">
        <v>55</v>
      </c>
      <c r="E9" s="2" t="s">
        <v>56</v>
      </c>
      <c r="F9" s="3" t="b">
        <f>TRUE()</f>
        <v>1</v>
      </c>
      <c r="G9" s="3" t="s">
        <v>57</v>
      </c>
      <c r="H9" s="3" t="s">
        <v>58</v>
      </c>
      <c r="I9" s="3" t="s">
        <v>59</v>
      </c>
      <c r="J9" s="3" t="s">
        <v>60</v>
      </c>
      <c r="K9" s="4" t="s">
        <v>58</v>
      </c>
      <c r="L9" s="4"/>
      <c r="M9" s="4" t="s">
        <v>61</v>
      </c>
      <c r="N9" s="2">
        <f t="shared" si="0"/>
        <v>1</v>
      </c>
      <c r="O9" s="5" t="str">
        <f t="shared" si="1"/>
        <v/>
      </c>
      <c r="P9" s="6">
        <v>5</v>
      </c>
      <c r="Q9" s="6">
        <v>5</v>
      </c>
      <c r="R9" s="6">
        <v>3</v>
      </c>
      <c r="S9" s="6">
        <v>5</v>
      </c>
      <c r="T9" s="6">
        <v>5</v>
      </c>
      <c r="U9" s="2" t="s">
        <v>62</v>
      </c>
    </row>
    <row r="10" spans="1:21" ht="165.75" customHeight="1" x14ac:dyDescent="0.25">
      <c r="A10" s="2">
        <v>1132</v>
      </c>
      <c r="B10" s="2">
        <v>2</v>
      </c>
      <c r="C10" s="2">
        <v>1</v>
      </c>
      <c r="D10" s="2" t="s">
        <v>21</v>
      </c>
      <c r="E10" s="2" t="s">
        <v>63</v>
      </c>
      <c r="F10" s="3" t="b">
        <f>FALSE()</f>
        <v>0</v>
      </c>
      <c r="G10" s="3">
        <v>6</v>
      </c>
      <c r="H10" s="3" t="s">
        <v>39</v>
      </c>
      <c r="I10" s="3" t="s">
        <v>64</v>
      </c>
      <c r="J10" s="3" t="s">
        <v>65</v>
      </c>
      <c r="K10" s="4" t="s">
        <v>39</v>
      </c>
      <c r="L10" s="4">
        <v>6</v>
      </c>
      <c r="M10" s="4" t="s">
        <v>66</v>
      </c>
      <c r="N10" s="2">
        <f t="shared" si="0"/>
        <v>1</v>
      </c>
      <c r="O10" s="5">
        <f t="shared" si="1"/>
        <v>1</v>
      </c>
      <c r="P10" s="6">
        <v>4</v>
      </c>
      <c r="Q10" s="6">
        <v>5</v>
      </c>
      <c r="R10" s="6">
        <v>5</v>
      </c>
      <c r="S10" s="6">
        <v>5</v>
      </c>
      <c r="T10" s="6">
        <v>3</v>
      </c>
      <c r="U10" s="2"/>
    </row>
    <row r="11" spans="1:21" ht="153" customHeight="1" x14ac:dyDescent="0.25">
      <c r="A11" s="2">
        <v>1132</v>
      </c>
      <c r="B11" s="2">
        <v>2</v>
      </c>
      <c r="C11" s="2">
        <v>2</v>
      </c>
      <c r="D11" s="2" t="s">
        <v>30</v>
      </c>
      <c r="E11" s="2" t="s">
        <v>67</v>
      </c>
      <c r="F11" s="3" t="b">
        <f>FALSE()</f>
        <v>0</v>
      </c>
      <c r="G11" s="3">
        <v>6</v>
      </c>
      <c r="H11" s="3" t="s">
        <v>32</v>
      </c>
      <c r="I11" s="3" t="s">
        <v>68</v>
      </c>
      <c r="J11" s="3" t="s">
        <v>69</v>
      </c>
      <c r="K11" s="4" t="s">
        <v>32</v>
      </c>
      <c r="L11" s="4">
        <v>6</v>
      </c>
      <c r="M11" s="4" t="s">
        <v>70</v>
      </c>
      <c r="N11" s="2">
        <f t="shared" si="0"/>
        <v>1</v>
      </c>
      <c r="O11" s="5">
        <f t="shared" si="1"/>
        <v>1</v>
      </c>
      <c r="P11" s="6">
        <v>5</v>
      </c>
      <c r="Q11" s="6">
        <v>5</v>
      </c>
      <c r="R11" s="6">
        <v>5</v>
      </c>
      <c r="S11" s="6">
        <v>5</v>
      </c>
      <c r="T11" s="6">
        <v>4</v>
      </c>
      <c r="U11" s="2"/>
    </row>
    <row r="12" spans="1:21" ht="153" customHeight="1" x14ac:dyDescent="0.25">
      <c r="A12" s="2">
        <v>1132</v>
      </c>
      <c r="B12" s="2">
        <v>2</v>
      </c>
      <c r="C12" s="2">
        <v>3</v>
      </c>
      <c r="D12" s="2" t="s">
        <v>30</v>
      </c>
      <c r="E12" s="2" t="s">
        <v>71</v>
      </c>
      <c r="F12" s="3" t="b">
        <f>FALSE()</f>
        <v>0</v>
      </c>
      <c r="G12" s="3">
        <v>6</v>
      </c>
      <c r="H12" s="3" t="s">
        <v>32</v>
      </c>
      <c r="I12" s="3" t="s">
        <v>72</v>
      </c>
      <c r="J12" s="3" t="s">
        <v>73</v>
      </c>
      <c r="K12" s="4" t="s">
        <v>32</v>
      </c>
      <c r="L12" s="4">
        <v>6</v>
      </c>
      <c r="M12" s="4" t="s">
        <v>70</v>
      </c>
      <c r="N12" s="2">
        <f t="shared" si="0"/>
        <v>1</v>
      </c>
      <c r="O12" s="5">
        <f t="shared" si="1"/>
        <v>1</v>
      </c>
      <c r="P12" s="6">
        <v>5</v>
      </c>
      <c r="Q12" s="6">
        <v>5</v>
      </c>
      <c r="R12" s="6">
        <v>5</v>
      </c>
      <c r="S12" s="6">
        <v>5</v>
      </c>
      <c r="T12" s="6">
        <v>4</v>
      </c>
      <c r="U12" s="2"/>
    </row>
    <row r="13" spans="1:21" ht="165.75" customHeight="1" x14ac:dyDescent="0.25">
      <c r="A13" s="2">
        <v>1132</v>
      </c>
      <c r="B13" s="2">
        <v>2</v>
      </c>
      <c r="C13" s="2">
        <v>4</v>
      </c>
      <c r="D13" s="2" t="s">
        <v>55</v>
      </c>
      <c r="E13" s="2" t="s">
        <v>74</v>
      </c>
      <c r="F13" s="3" t="b">
        <f>TRUE()</f>
        <v>1</v>
      </c>
      <c r="G13" s="3" t="s">
        <v>57</v>
      </c>
      <c r="H13" s="3" t="s">
        <v>58</v>
      </c>
      <c r="I13" s="3" t="s">
        <v>75</v>
      </c>
      <c r="J13" s="3" t="s">
        <v>76</v>
      </c>
      <c r="K13" s="4" t="s">
        <v>58</v>
      </c>
      <c r="L13" s="4"/>
      <c r="M13" s="4" t="s">
        <v>61</v>
      </c>
      <c r="N13" s="2">
        <f t="shared" si="0"/>
        <v>1</v>
      </c>
      <c r="O13" s="5" t="str">
        <f t="shared" si="1"/>
        <v/>
      </c>
      <c r="P13" s="6">
        <v>5</v>
      </c>
      <c r="Q13" s="6">
        <v>5</v>
      </c>
      <c r="R13" s="6">
        <v>2</v>
      </c>
      <c r="S13" s="6">
        <v>5</v>
      </c>
      <c r="T13" s="6">
        <v>5</v>
      </c>
      <c r="U13" s="2" t="s">
        <v>77</v>
      </c>
    </row>
    <row r="14" spans="1:21" ht="153" customHeight="1" x14ac:dyDescent="0.25">
      <c r="A14" s="2">
        <v>1132</v>
      </c>
      <c r="B14" s="2">
        <v>3</v>
      </c>
      <c r="C14" s="2">
        <v>1</v>
      </c>
      <c r="D14" s="2" t="s">
        <v>21</v>
      </c>
      <c r="E14" s="2" t="s">
        <v>78</v>
      </c>
      <c r="F14" s="3" t="b">
        <f>TRUE()</f>
        <v>1</v>
      </c>
      <c r="G14" s="3" t="s">
        <v>57</v>
      </c>
      <c r="H14" s="3" t="s">
        <v>58</v>
      </c>
      <c r="I14" s="3" t="s">
        <v>79</v>
      </c>
      <c r="J14" s="3" t="s">
        <v>80</v>
      </c>
      <c r="K14" s="4" t="s">
        <v>58</v>
      </c>
      <c r="L14" s="4"/>
      <c r="M14" s="4" t="s">
        <v>81</v>
      </c>
      <c r="N14" s="2">
        <f t="shared" si="0"/>
        <v>1</v>
      </c>
      <c r="O14" s="5" t="str">
        <f t="shared" si="1"/>
        <v/>
      </c>
      <c r="P14" s="6">
        <v>5</v>
      </c>
      <c r="Q14" s="6">
        <v>5</v>
      </c>
      <c r="R14" s="6">
        <v>4</v>
      </c>
      <c r="S14" s="6">
        <v>5</v>
      </c>
      <c r="T14" s="6">
        <v>5</v>
      </c>
      <c r="U14" s="2" t="s">
        <v>82</v>
      </c>
    </row>
    <row r="15" spans="1:21" ht="153" customHeight="1" x14ac:dyDescent="0.25">
      <c r="A15" s="2">
        <v>1132</v>
      </c>
      <c r="B15" s="2">
        <v>3</v>
      </c>
      <c r="C15" s="2">
        <v>2</v>
      </c>
      <c r="D15" s="2" t="s">
        <v>55</v>
      </c>
      <c r="E15" s="2" t="s">
        <v>83</v>
      </c>
      <c r="F15" s="3" t="b">
        <f>TRUE()</f>
        <v>1</v>
      </c>
      <c r="G15" s="3" t="s">
        <v>57</v>
      </c>
      <c r="H15" s="3" t="s">
        <v>58</v>
      </c>
      <c r="I15" s="3" t="s">
        <v>84</v>
      </c>
      <c r="J15" s="3" t="s">
        <v>85</v>
      </c>
      <c r="K15" s="4" t="s">
        <v>58</v>
      </c>
      <c r="L15" s="4"/>
      <c r="M15" s="4" t="s">
        <v>61</v>
      </c>
      <c r="N15" s="2">
        <f t="shared" si="0"/>
        <v>1</v>
      </c>
      <c r="O15" s="5" t="str">
        <f t="shared" si="1"/>
        <v/>
      </c>
      <c r="P15" s="6">
        <v>5</v>
      </c>
      <c r="Q15" s="6">
        <v>5</v>
      </c>
      <c r="R15" s="6">
        <v>4</v>
      </c>
      <c r="S15" s="6">
        <v>5</v>
      </c>
      <c r="T15" s="6">
        <v>5</v>
      </c>
      <c r="U15" s="2" t="s">
        <v>77</v>
      </c>
    </row>
    <row r="16" spans="1:21" ht="114.75" customHeight="1" x14ac:dyDescent="0.25">
      <c r="A16" s="2">
        <v>1153</v>
      </c>
      <c r="B16" s="2">
        <v>1</v>
      </c>
      <c r="C16" s="2">
        <v>1</v>
      </c>
      <c r="D16" s="2" t="s">
        <v>55</v>
      </c>
      <c r="E16" s="2" t="s">
        <v>86</v>
      </c>
      <c r="F16" s="3" t="b">
        <f>TRUE()</f>
        <v>1</v>
      </c>
      <c r="G16" s="3" t="s">
        <v>57</v>
      </c>
      <c r="H16" s="3" t="s">
        <v>58</v>
      </c>
      <c r="I16" s="3" t="s">
        <v>87</v>
      </c>
      <c r="J16" s="3" t="s">
        <v>88</v>
      </c>
      <c r="K16" s="4" t="s">
        <v>58</v>
      </c>
      <c r="L16" s="4"/>
      <c r="M16" s="4" t="s">
        <v>89</v>
      </c>
      <c r="N16" s="2">
        <f t="shared" si="0"/>
        <v>1</v>
      </c>
      <c r="O16" s="5" t="str">
        <f t="shared" si="1"/>
        <v/>
      </c>
      <c r="P16" s="6">
        <v>5</v>
      </c>
      <c r="Q16" s="6">
        <v>5</v>
      </c>
      <c r="R16" s="6">
        <v>4</v>
      </c>
      <c r="S16" s="6">
        <v>5</v>
      </c>
      <c r="T16" s="6">
        <v>5</v>
      </c>
      <c r="U16" s="2" t="s">
        <v>90</v>
      </c>
    </row>
    <row r="17" spans="1:21" ht="114.75" customHeight="1" x14ac:dyDescent="0.25">
      <c r="A17" s="2">
        <v>1153</v>
      </c>
      <c r="B17" s="2">
        <v>2</v>
      </c>
      <c r="C17" s="2">
        <v>1</v>
      </c>
      <c r="D17" s="2" t="s">
        <v>30</v>
      </c>
      <c r="E17" s="2" t="s">
        <v>91</v>
      </c>
      <c r="F17" s="3" t="b">
        <f>FALSE()</f>
        <v>0</v>
      </c>
      <c r="G17" s="3">
        <v>7</v>
      </c>
      <c r="H17" s="3" t="s">
        <v>32</v>
      </c>
      <c r="I17" s="3" t="s">
        <v>92</v>
      </c>
      <c r="J17" s="3" t="s">
        <v>93</v>
      </c>
      <c r="K17" s="4" t="s">
        <v>32</v>
      </c>
      <c r="L17" s="4">
        <v>7</v>
      </c>
      <c r="M17" s="4" t="s">
        <v>94</v>
      </c>
      <c r="N17" s="2">
        <f t="shared" si="0"/>
        <v>1</v>
      </c>
      <c r="O17" s="5">
        <f t="shared" si="1"/>
        <v>1</v>
      </c>
      <c r="P17" s="6">
        <v>5</v>
      </c>
      <c r="Q17" s="6">
        <v>5</v>
      </c>
      <c r="R17" s="6">
        <v>5</v>
      </c>
      <c r="S17" s="6">
        <v>5</v>
      </c>
      <c r="T17" s="6">
        <v>3</v>
      </c>
      <c r="U17" s="2" t="s">
        <v>95</v>
      </c>
    </row>
    <row r="18" spans="1:21" ht="127.5" customHeight="1" x14ac:dyDescent="0.25">
      <c r="A18" s="2">
        <v>1153</v>
      </c>
      <c r="B18" s="2">
        <v>2</v>
      </c>
      <c r="C18" s="2">
        <v>2</v>
      </c>
      <c r="D18" s="2" t="s">
        <v>21</v>
      </c>
      <c r="E18" s="2" t="s">
        <v>96</v>
      </c>
      <c r="F18" s="3" t="b">
        <f>FALSE()</f>
        <v>0</v>
      </c>
      <c r="G18" s="3">
        <v>6</v>
      </c>
      <c r="H18" s="3" t="s">
        <v>23</v>
      </c>
      <c r="I18" s="3" t="s">
        <v>97</v>
      </c>
      <c r="J18" s="3" t="s">
        <v>98</v>
      </c>
      <c r="K18" s="4" t="s">
        <v>23</v>
      </c>
      <c r="L18" s="4">
        <v>6</v>
      </c>
      <c r="M18" s="4" t="s">
        <v>99</v>
      </c>
      <c r="N18" s="2">
        <f t="shared" si="0"/>
        <v>1</v>
      </c>
      <c r="O18" s="5">
        <f t="shared" si="1"/>
        <v>1</v>
      </c>
      <c r="P18" s="6">
        <v>4</v>
      </c>
      <c r="Q18" s="6">
        <v>5</v>
      </c>
      <c r="R18" s="6">
        <v>5</v>
      </c>
      <c r="S18" s="6">
        <v>5</v>
      </c>
      <c r="T18" s="6">
        <v>3</v>
      </c>
      <c r="U18" s="2"/>
    </row>
    <row r="19" spans="1:21" ht="140.25" customHeight="1" x14ac:dyDescent="0.25">
      <c r="A19" s="2">
        <v>1153</v>
      </c>
      <c r="B19" s="2">
        <v>2</v>
      </c>
      <c r="C19" s="2">
        <v>3</v>
      </c>
      <c r="D19" s="2" t="s">
        <v>55</v>
      </c>
      <c r="E19" s="2" t="s">
        <v>100</v>
      </c>
      <c r="F19" s="3" t="b">
        <f>TRUE()</f>
        <v>1</v>
      </c>
      <c r="G19" s="3" t="s">
        <v>57</v>
      </c>
      <c r="H19" s="3" t="s">
        <v>58</v>
      </c>
      <c r="I19" s="3" t="s">
        <v>101</v>
      </c>
      <c r="J19" s="3" t="s">
        <v>102</v>
      </c>
      <c r="K19" s="4" t="s">
        <v>58</v>
      </c>
      <c r="L19" s="4"/>
      <c r="M19" s="4" t="s">
        <v>103</v>
      </c>
      <c r="N19" s="2">
        <f t="shared" si="0"/>
        <v>1</v>
      </c>
      <c r="O19" s="5" t="str">
        <f t="shared" si="1"/>
        <v/>
      </c>
      <c r="P19" s="6">
        <v>5</v>
      </c>
      <c r="Q19" s="6">
        <v>5</v>
      </c>
      <c r="R19" s="6">
        <v>4</v>
      </c>
      <c r="S19" s="6">
        <v>5</v>
      </c>
      <c r="T19" s="6">
        <v>5</v>
      </c>
      <c r="U19" s="2" t="s">
        <v>77</v>
      </c>
    </row>
    <row r="20" spans="1:21" ht="63.75" customHeight="1" x14ac:dyDescent="0.25">
      <c r="A20" s="2">
        <v>1153</v>
      </c>
      <c r="B20" s="2">
        <v>3</v>
      </c>
      <c r="C20" s="2">
        <v>1</v>
      </c>
      <c r="D20" s="2" t="s">
        <v>55</v>
      </c>
      <c r="E20" s="2" t="s">
        <v>104</v>
      </c>
      <c r="F20" s="3" t="b">
        <f>TRUE()</f>
        <v>1</v>
      </c>
      <c r="G20" s="3" t="s">
        <v>57</v>
      </c>
      <c r="H20" s="3" t="s">
        <v>58</v>
      </c>
      <c r="I20" s="3" t="s">
        <v>105</v>
      </c>
      <c r="J20" s="3" t="s">
        <v>106</v>
      </c>
      <c r="K20" s="4" t="s">
        <v>58</v>
      </c>
      <c r="L20" s="4"/>
      <c r="M20" s="4" t="s">
        <v>103</v>
      </c>
      <c r="N20" s="2">
        <f t="shared" si="0"/>
        <v>1</v>
      </c>
      <c r="O20" s="5" t="str">
        <f t="shared" si="1"/>
        <v/>
      </c>
      <c r="P20" s="6">
        <v>5</v>
      </c>
      <c r="Q20" s="6">
        <v>5</v>
      </c>
      <c r="R20" s="6">
        <v>4</v>
      </c>
      <c r="S20" s="6">
        <v>5</v>
      </c>
      <c r="T20" s="6">
        <v>5</v>
      </c>
      <c r="U20" s="2" t="s">
        <v>77</v>
      </c>
    </row>
    <row r="21" spans="1:21" ht="293.25" customHeight="1" x14ac:dyDescent="0.25">
      <c r="A21" s="2">
        <v>1828</v>
      </c>
      <c r="B21" s="2">
        <v>1</v>
      </c>
      <c r="C21" s="2">
        <v>1</v>
      </c>
      <c r="D21" s="2" t="s">
        <v>21</v>
      </c>
      <c r="E21" s="2" t="s">
        <v>107</v>
      </c>
      <c r="F21" s="3" t="b">
        <f>FALSE()</f>
        <v>0</v>
      </c>
      <c r="G21" s="3">
        <v>16</v>
      </c>
      <c r="H21" s="3" t="s">
        <v>23</v>
      </c>
      <c r="I21" s="3" t="s">
        <v>108</v>
      </c>
      <c r="J21" s="3" t="s">
        <v>109</v>
      </c>
      <c r="K21" s="4" t="s">
        <v>23</v>
      </c>
      <c r="L21" s="4">
        <v>16</v>
      </c>
      <c r="M21" s="4" t="s">
        <v>110</v>
      </c>
      <c r="N21" s="2">
        <f t="shared" si="0"/>
        <v>1</v>
      </c>
      <c r="O21" s="5">
        <f t="shared" si="1"/>
        <v>1</v>
      </c>
      <c r="P21" s="6">
        <v>4</v>
      </c>
      <c r="Q21" s="6">
        <v>5</v>
      </c>
      <c r="R21" s="6">
        <v>5</v>
      </c>
      <c r="S21" s="6">
        <v>5</v>
      </c>
      <c r="T21" s="6">
        <v>3</v>
      </c>
      <c r="U21" s="2"/>
    </row>
    <row r="22" spans="1:21" ht="293.25" customHeight="1" x14ac:dyDescent="0.25">
      <c r="A22" s="2">
        <v>1828</v>
      </c>
      <c r="B22" s="2">
        <v>1</v>
      </c>
      <c r="C22" s="2">
        <v>2</v>
      </c>
      <c r="D22" s="2" t="s">
        <v>111</v>
      </c>
      <c r="E22" s="2" t="s">
        <v>112</v>
      </c>
      <c r="F22" s="3" t="b">
        <f>FALSE()</f>
        <v>0</v>
      </c>
      <c r="G22" s="3">
        <v>3</v>
      </c>
      <c r="H22" s="3" t="s">
        <v>32</v>
      </c>
      <c r="I22" s="3" t="s">
        <v>113</v>
      </c>
      <c r="J22" s="3" t="s">
        <v>114</v>
      </c>
      <c r="K22" s="4" t="s">
        <v>32</v>
      </c>
      <c r="L22" s="4">
        <v>3</v>
      </c>
      <c r="M22" s="4" t="s">
        <v>115</v>
      </c>
      <c r="N22" s="2">
        <f t="shared" si="0"/>
        <v>1</v>
      </c>
      <c r="O22" s="5">
        <f t="shared" si="1"/>
        <v>1</v>
      </c>
      <c r="P22" s="6">
        <v>4</v>
      </c>
      <c r="Q22" s="6">
        <v>5</v>
      </c>
      <c r="R22" s="6">
        <v>5</v>
      </c>
      <c r="S22" s="6">
        <v>4</v>
      </c>
      <c r="T22" s="6">
        <v>4</v>
      </c>
      <c r="U22" s="2"/>
    </row>
    <row r="23" spans="1:21" ht="293.25" customHeight="1" x14ac:dyDescent="0.25">
      <c r="A23" s="2">
        <v>1828</v>
      </c>
      <c r="B23" s="2">
        <v>1</v>
      </c>
      <c r="C23" s="2">
        <v>3</v>
      </c>
      <c r="D23" s="2" t="s">
        <v>55</v>
      </c>
      <c r="E23" s="2" t="s">
        <v>116</v>
      </c>
      <c r="F23" s="3" t="b">
        <f>TRUE()</f>
        <v>1</v>
      </c>
      <c r="G23" s="3" t="s">
        <v>57</v>
      </c>
      <c r="H23" s="3" t="s">
        <v>58</v>
      </c>
      <c r="I23" s="3" t="s">
        <v>117</v>
      </c>
      <c r="J23" s="3" t="s">
        <v>118</v>
      </c>
      <c r="K23" s="4" t="s">
        <v>58</v>
      </c>
      <c r="L23" s="4"/>
      <c r="M23" s="4" t="s">
        <v>119</v>
      </c>
      <c r="N23" s="2">
        <f t="shared" si="0"/>
        <v>1</v>
      </c>
      <c r="O23" s="5" t="str">
        <f t="shared" si="1"/>
        <v/>
      </c>
      <c r="P23" s="6">
        <v>5</v>
      </c>
      <c r="Q23" s="6">
        <v>5</v>
      </c>
      <c r="R23" s="6">
        <v>4</v>
      </c>
      <c r="S23" s="6">
        <v>5</v>
      </c>
      <c r="T23" s="6">
        <v>5</v>
      </c>
      <c r="U23" s="2" t="s">
        <v>77</v>
      </c>
    </row>
    <row r="24" spans="1:21" ht="409.5" customHeight="1" x14ac:dyDescent="0.25">
      <c r="A24" s="2">
        <v>1828</v>
      </c>
      <c r="B24" s="2">
        <v>2</v>
      </c>
      <c r="C24" s="2">
        <v>1</v>
      </c>
      <c r="D24" s="2" t="s">
        <v>21</v>
      </c>
      <c r="E24" s="2" t="s">
        <v>120</v>
      </c>
      <c r="F24" s="3" t="b">
        <f>FALSE()</f>
        <v>0</v>
      </c>
      <c r="G24" s="3">
        <v>7</v>
      </c>
      <c r="H24" s="3" t="s">
        <v>23</v>
      </c>
      <c r="I24" s="3" t="s">
        <v>121</v>
      </c>
      <c r="J24" s="3" t="s">
        <v>122</v>
      </c>
      <c r="K24" s="4" t="s">
        <v>23</v>
      </c>
      <c r="L24" s="4">
        <v>7</v>
      </c>
      <c r="M24" s="4" t="s">
        <v>123</v>
      </c>
      <c r="N24" s="2">
        <f t="shared" si="0"/>
        <v>1</v>
      </c>
      <c r="O24" s="5">
        <f t="shared" si="1"/>
        <v>1</v>
      </c>
      <c r="P24" s="6">
        <v>4</v>
      </c>
      <c r="Q24" s="6">
        <v>5</v>
      </c>
      <c r="R24" s="6">
        <v>5</v>
      </c>
      <c r="S24" s="6">
        <v>5</v>
      </c>
      <c r="T24" s="6">
        <v>3</v>
      </c>
      <c r="U24" s="2"/>
    </row>
    <row r="25" spans="1:21" ht="409.5" customHeight="1" x14ac:dyDescent="0.25">
      <c r="A25" s="2">
        <v>1828</v>
      </c>
      <c r="B25" s="2">
        <v>2</v>
      </c>
      <c r="C25" s="2">
        <v>2</v>
      </c>
      <c r="D25" s="2" t="s">
        <v>30</v>
      </c>
      <c r="E25" s="2" t="s">
        <v>124</v>
      </c>
      <c r="F25" s="3" t="b">
        <f>FALSE()</f>
        <v>0</v>
      </c>
      <c r="G25" s="3">
        <v>7</v>
      </c>
      <c r="H25" s="3" t="s">
        <v>32</v>
      </c>
      <c r="I25" s="3" t="s">
        <v>125</v>
      </c>
      <c r="J25" s="3" t="s">
        <v>126</v>
      </c>
      <c r="K25" s="4" t="s">
        <v>32</v>
      </c>
      <c r="L25" s="4">
        <v>7</v>
      </c>
      <c r="M25" s="4" t="s">
        <v>127</v>
      </c>
      <c r="N25" s="2">
        <f t="shared" si="0"/>
        <v>1</v>
      </c>
      <c r="O25" s="5">
        <f t="shared" si="1"/>
        <v>1</v>
      </c>
      <c r="P25" s="6">
        <v>5</v>
      </c>
      <c r="Q25" s="6">
        <v>5</v>
      </c>
      <c r="R25" s="6">
        <v>5</v>
      </c>
      <c r="S25" s="6">
        <v>5</v>
      </c>
      <c r="T25" s="6">
        <v>3</v>
      </c>
      <c r="U25" s="2"/>
    </row>
    <row r="26" spans="1:21" ht="409.5" customHeight="1" x14ac:dyDescent="0.25">
      <c r="A26" s="2">
        <v>1828</v>
      </c>
      <c r="B26" s="2">
        <v>2</v>
      </c>
      <c r="C26" s="2">
        <v>3</v>
      </c>
      <c r="D26" s="2" t="s">
        <v>55</v>
      </c>
      <c r="E26" s="2" t="s">
        <v>128</v>
      </c>
      <c r="F26" s="3" t="b">
        <f>TRUE()</f>
        <v>1</v>
      </c>
      <c r="G26" s="3" t="s">
        <v>57</v>
      </c>
      <c r="H26" s="3" t="s">
        <v>58</v>
      </c>
      <c r="I26" s="3" t="s">
        <v>129</v>
      </c>
      <c r="J26" s="3" t="s">
        <v>130</v>
      </c>
      <c r="K26" s="4" t="s">
        <v>58</v>
      </c>
      <c r="L26" s="4"/>
      <c r="M26" s="4" t="s">
        <v>119</v>
      </c>
      <c r="N26" s="2">
        <f t="shared" si="0"/>
        <v>1</v>
      </c>
      <c r="O26" s="5" t="str">
        <f t="shared" si="1"/>
        <v/>
      </c>
      <c r="P26" s="6">
        <v>5</v>
      </c>
      <c r="Q26" s="6">
        <v>5</v>
      </c>
      <c r="R26" s="6">
        <v>4</v>
      </c>
      <c r="S26" s="6">
        <v>5</v>
      </c>
      <c r="T26" s="6">
        <v>5</v>
      </c>
      <c r="U26" s="2" t="s">
        <v>77</v>
      </c>
    </row>
    <row r="27" spans="1:21" ht="242.25" customHeight="1" x14ac:dyDescent="0.25">
      <c r="A27" s="2">
        <v>1828</v>
      </c>
      <c r="B27" s="2">
        <v>3</v>
      </c>
      <c r="C27" s="2">
        <v>1</v>
      </c>
      <c r="D27" s="2" t="s">
        <v>55</v>
      </c>
      <c r="E27" s="2" t="s">
        <v>131</v>
      </c>
      <c r="F27" s="3" t="b">
        <f>TRUE()</f>
        <v>1</v>
      </c>
      <c r="G27" s="3" t="s">
        <v>57</v>
      </c>
      <c r="H27" s="3" t="s">
        <v>58</v>
      </c>
      <c r="I27" s="3" t="s">
        <v>132</v>
      </c>
      <c r="J27" s="3" t="s">
        <v>133</v>
      </c>
      <c r="K27" s="4" t="s">
        <v>58</v>
      </c>
      <c r="L27" s="4"/>
      <c r="M27" s="4" t="s">
        <v>119</v>
      </c>
      <c r="N27" s="2">
        <f t="shared" si="0"/>
        <v>1</v>
      </c>
      <c r="O27" s="5" t="str">
        <f t="shared" si="1"/>
        <v/>
      </c>
      <c r="P27" s="6">
        <v>5</v>
      </c>
      <c r="Q27" s="6">
        <v>5</v>
      </c>
      <c r="R27" s="6">
        <v>3</v>
      </c>
      <c r="S27" s="6">
        <v>5</v>
      </c>
      <c r="T27" s="6">
        <v>5</v>
      </c>
      <c r="U27" s="2" t="s">
        <v>77</v>
      </c>
    </row>
    <row r="28" spans="1:21" ht="267.75" customHeight="1" x14ac:dyDescent="0.25">
      <c r="A28" s="2">
        <v>1873</v>
      </c>
      <c r="B28" s="2">
        <v>1</v>
      </c>
      <c r="C28" s="2">
        <v>1</v>
      </c>
      <c r="D28" s="2" t="s">
        <v>21</v>
      </c>
      <c r="E28" s="2" t="s">
        <v>134</v>
      </c>
      <c r="F28" s="3" t="b">
        <f>FALSE()</f>
        <v>0</v>
      </c>
      <c r="G28" s="3">
        <v>14</v>
      </c>
      <c r="H28" s="3" t="s">
        <v>23</v>
      </c>
      <c r="I28" s="3" t="s">
        <v>135</v>
      </c>
      <c r="J28" s="3" t="s">
        <v>136</v>
      </c>
      <c r="K28" s="4" t="s">
        <v>23</v>
      </c>
      <c r="L28" s="4">
        <v>13</v>
      </c>
      <c r="M28" s="4" t="s">
        <v>137</v>
      </c>
      <c r="N28" s="2">
        <f t="shared" si="0"/>
        <v>1</v>
      </c>
      <c r="O28" s="5">
        <f t="shared" si="1"/>
        <v>0</v>
      </c>
      <c r="P28" s="6">
        <v>4</v>
      </c>
      <c r="Q28" s="6">
        <v>5</v>
      </c>
      <c r="R28" s="6">
        <v>5</v>
      </c>
      <c r="S28" s="6">
        <v>5</v>
      </c>
      <c r="T28" s="6">
        <v>3</v>
      </c>
      <c r="U28" s="2"/>
    </row>
    <row r="29" spans="1:21" ht="267.75" customHeight="1" x14ac:dyDescent="0.25">
      <c r="A29" s="2">
        <v>1873</v>
      </c>
      <c r="B29" s="2">
        <v>1</v>
      </c>
      <c r="C29" s="2">
        <v>2</v>
      </c>
      <c r="D29" s="2" t="s">
        <v>138</v>
      </c>
      <c r="E29" s="2" t="s">
        <v>139</v>
      </c>
      <c r="F29" s="3" t="b">
        <f>FALSE()</f>
        <v>0</v>
      </c>
      <c r="G29" s="3">
        <v>6</v>
      </c>
      <c r="H29" s="3" t="s">
        <v>32</v>
      </c>
      <c r="I29" s="3" t="s">
        <v>140</v>
      </c>
      <c r="J29" s="3" t="s">
        <v>141</v>
      </c>
      <c r="K29" s="4" t="s">
        <v>32</v>
      </c>
      <c r="L29" s="4">
        <v>6</v>
      </c>
      <c r="M29" s="4" t="s">
        <v>142</v>
      </c>
      <c r="N29" s="2">
        <f t="shared" si="0"/>
        <v>1</v>
      </c>
      <c r="O29" s="5">
        <f t="shared" si="1"/>
        <v>1</v>
      </c>
      <c r="P29" s="6">
        <v>5</v>
      </c>
      <c r="Q29" s="6">
        <v>5</v>
      </c>
      <c r="R29" s="6">
        <v>5</v>
      </c>
      <c r="S29" s="6">
        <v>5</v>
      </c>
      <c r="T29" s="6">
        <v>3</v>
      </c>
      <c r="U29" s="2" t="s">
        <v>143</v>
      </c>
    </row>
    <row r="30" spans="1:21" ht="382.5" customHeight="1" x14ac:dyDescent="0.25">
      <c r="A30" s="2">
        <v>1873</v>
      </c>
      <c r="B30" s="2">
        <v>1</v>
      </c>
      <c r="C30" s="2">
        <v>3</v>
      </c>
      <c r="D30" s="2" t="s">
        <v>138</v>
      </c>
      <c r="E30" s="2" t="s">
        <v>144</v>
      </c>
      <c r="F30" s="3" t="b">
        <f>FALSE()</f>
        <v>0</v>
      </c>
      <c r="G30" s="3">
        <v>20</v>
      </c>
      <c r="H30" s="3" t="s">
        <v>32</v>
      </c>
      <c r="I30" s="3" t="s">
        <v>145</v>
      </c>
      <c r="J30" s="3" t="s">
        <v>146</v>
      </c>
      <c r="K30" s="4" t="s">
        <v>32</v>
      </c>
      <c r="L30" s="4">
        <v>20</v>
      </c>
      <c r="M30" s="4" t="s">
        <v>147</v>
      </c>
      <c r="N30" s="2">
        <f t="shared" si="0"/>
        <v>1</v>
      </c>
      <c r="O30" s="5">
        <f t="shared" si="1"/>
        <v>1</v>
      </c>
      <c r="P30" s="6">
        <v>5</v>
      </c>
      <c r="Q30" s="6">
        <v>5</v>
      </c>
      <c r="R30" s="6">
        <v>5</v>
      </c>
      <c r="S30" s="6">
        <v>5</v>
      </c>
      <c r="T30" s="6">
        <v>4</v>
      </c>
      <c r="U30" s="2"/>
    </row>
    <row r="31" spans="1:21" ht="382.5" customHeight="1" x14ac:dyDescent="0.25">
      <c r="A31" s="2">
        <v>1873</v>
      </c>
      <c r="B31" s="2">
        <v>1</v>
      </c>
      <c r="C31" s="2">
        <v>4</v>
      </c>
      <c r="D31" s="2" t="s">
        <v>138</v>
      </c>
      <c r="E31" s="2" t="s">
        <v>148</v>
      </c>
      <c r="F31" s="3" t="b">
        <f>FALSE()</f>
        <v>0</v>
      </c>
      <c r="G31" s="3">
        <v>6</v>
      </c>
      <c r="H31" s="3" t="s">
        <v>32</v>
      </c>
      <c r="I31" s="3" t="s">
        <v>149</v>
      </c>
      <c r="J31" s="3" t="s">
        <v>150</v>
      </c>
      <c r="K31" s="4" t="s">
        <v>32</v>
      </c>
      <c r="L31" s="4">
        <v>6</v>
      </c>
      <c r="M31" s="4" t="s">
        <v>151</v>
      </c>
      <c r="N31" s="2">
        <f t="shared" si="0"/>
        <v>1</v>
      </c>
      <c r="O31" s="5">
        <f t="shared" si="1"/>
        <v>1</v>
      </c>
      <c r="P31" s="6">
        <v>5</v>
      </c>
      <c r="Q31" s="6">
        <v>5</v>
      </c>
      <c r="R31" s="6">
        <v>5</v>
      </c>
      <c r="S31" s="6">
        <v>5</v>
      </c>
      <c r="T31" s="6">
        <v>4</v>
      </c>
      <c r="U31" s="2"/>
    </row>
    <row r="32" spans="1:21" ht="318.75" customHeight="1" x14ac:dyDescent="0.25">
      <c r="A32" s="2">
        <v>1873</v>
      </c>
      <c r="B32" s="2">
        <v>1</v>
      </c>
      <c r="C32" s="2">
        <v>5</v>
      </c>
      <c r="D32" s="2" t="s">
        <v>21</v>
      </c>
      <c r="E32" s="2" t="s">
        <v>152</v>
      </c>
      <c r="F32" s="3" t="b">
        <f>FALSE()</f>
        <v>0</v>
      </c>
      <c r="G32" s="3">
        <v>6</v>
      </c>
      <c r="H32" s="3" t="s">
        <v>39</v>
      </c>
      <c r="I32" s="3" t="s">
        <v>153</v>
      </c>
      <c r="J32" s="3" t="s">
        <v>154</v>
      </c>
      <c r="K32" s="4" t="s">
        <v>39</v>
      </c>
      <c r="L32" s="4">
        <v>6</v>
      </c>
      <c r="M32" s="4" t="s">
        <v>155</v>
      </c>
      <c r="N32" s="2">
        <f t="shared" si="0"/>
        <v>1</v>
      </c>
      <c r="O32" s="5">
        <f t="shared" si="1"/>
        <v>1</v>
      </c>
      <c r="P32" s="6">
        <v>5</v>
      </c>
      <c r="Q32" s="6">
        <v>5</v>
      </c>
      <c r="R32" s="6">
        <v>5</v>
      </c>
      <c r="S32" s="6">
        <v>5</v>
      </c>
      <c r="T32" s="6">
        <v>3</v>
      </c>
      <c r="U32" s="2" t="s">
        <v>156</v>
      </c>
    </row>
    <row r="33" spans="1:21" ht="306" customHeight="1" x14ac:dyDescent="0.25">
      <c r="A33" s="2">
        <v>1873</v>
      </c>
      <c r="B33" s="2">
        <v>1</v>
      </c>
      <c r="C33" s="2">
        <v>6</v>
      </c>
      <c r="D33" s="2" t="s">
        <v>21</v>
      </c>
      <c r="E33" s="2" t="s">
        <v>157</v>
      </c>
      <c r="F33" s="3" t="b">
        <f>FALSE()</f>
        <v>0</v>
      </c>
      <c r="G33" s="3">
        <v>6</v>
      </c>
      <c r="H33" s="3" t="s">
        <v>23</v>
      </c>
      <c r="I33" s="3" t="s">
        <v>158</v>
      </c>
      <c r="J33" s="3" t="s">
        <v>159</v>
      </c>
      <c r="K33" s="4" t="s">
        <v>23</v>
      </c>
      <c r="L33" s="4">
        <v>6</v>
      </c>
      <c r="M33" s="4" t="s">
        <v>160</v>
      </c>
      <c r="N33" s="2">
        <f t="shared" si="0"/>
        <v>1</v>
      </c>
      <c r="O33" s="5">
        <f t="shared" si="1"/>
        <v>1</v>
      </c>
      <c r="P33" s="6">
        <v>4</v>
      </c>
      <c r="Q33" s="6">
        <v>5</v>
      </c>
      <c r="R33" s="6">
        <v>5</v>
      </c>
      <c r="S33" s="6">
        <v>5</v>
      </c>
      <c r="T33" s="6">
        <v>3</v>
      </c>
      <c r="U33" s="2"/>
    </row>
    <row r="34" spans="1:21" ht="306" customHeight="1" x14ac:dyDescent="0.25">
      <c r="A34" s="2">
        <v>1873</v>
      </c>
      <c r="B34" s="2">
        <v>1</v>
      </c>
      <c r="C34" s="2">
        <v>7</v>
      </c>
      <c r="D34" s="2" t="s">
        <v>21</v>
      </c>
      <c r="E34" s="2" t="s">
        <v>161</v>
      </c>
      <c r="F34" s="3" t="b">
        <f>FALSE()</f>
        <v>0</v>
      </c>
      <c r="G34" s="3">
        <v>6</v>
      </c>
      <c r="H34" s="3" t="s">
        <v>23</v>
      </c>
      <c r="I34" s="3" t="s">
        <v>162</v>
      </c>
      <c r="J34" s="3" t="s">
        <v>163</v>
      </c>
      <c r="K34" s="4" t="s">
        <v>23</v>
      </c>
      <c r="L34" s="4">
        <v>6</v>
      </c>
      <c r="M34" s="4" t="s">
        <v>160</v>
      </c>
      <c r="N34" s="2">
        <f t="shared" ref="N34:N51" si="2">IF(AND(H34&lt;&gt;"",K34&lt;&gt;""),IF(H34=K34,1,0),"")</f>
        <v>1</v>
      </c>
      <c r="O34" s="5">
        <f t="shared" ref="O34:O51" si="3">IF(OR(K34="",K34="Nenhum (código correto)",L34=""),"",IF(G34="","",IF(G34=L34,1,0)))</f>
        <v>1</v>
      </c>
      <c r="P34" s="6">
        <v>4</v>
      </c>
      <c r="Q34" s="6">
        <v>5</v>
      </c>
      <c r="R34" s="6">
        <v>5</v>
      </c>
      <c r="S34" s="6">
        <v>5</v>
      </c>
      <c r="T34" s="6">
        <v>3</v>
      </c>
      <c r="U34" s="2"/>
    </row>
    <row r="35" spans="1:21" ht="306" customHeight="1" x14ac:dyDescent="0.25">
      <c r="A35" s="2">
        <v>1873</v>
      </c>
      <c r="B35" s="2">
        <v>1</v>
      </c>
      <c r="C35" s="2">
        <v>8</v>
      </c>
      <c r="D35" s="2" t="s">
        <v>55</v>
      </c>
      <c r="E35" s="2" t="s">
        <v>164</v>
      </c>
      <c r="F35" s="3" t="b">
        <f>TRUE()</f>
        <v>1</v>
      </c>
      <c r="G35" s="3" t="s">
        <v>57</v>
      </c>
      <c r="H35" s="3" t="s">
        <v>58</v>
      </c>
      <c r="I35" s="3" t="s">
        <v>165</v>
      </c>
      <c r="J35" s="3" t="s">
        <v>166</v>
      </c>
      <c r="K35" s="4" t="s">
        <v>58</v>
      </c>
      <c r="L35" s="4"/>
      <c r="M35" s="4" t="s">
        <v>119</v>
      </c>
      <c r="N35" s="2">
        <f t="shared" si="2"/>
        <v>1</v>
      </c>
      <c r="O35" s="5" t="str">
        <f t="shared" si="3"/>
        <v/>
      </c>
      <c r="P35" s="6">
        <v>5</v>
      </c>
      <c r="Q35" s="6">
        <v>5</v>
      </c>
      <c r="R35" s="6">
        <v>4</v>
      </c>
      <c r="S35" s="6">
        <v>5</v>
      </c>
      <c r="T35" s="6">
        <v>5</v>
      </c>
      <c r="U35" s="2" t="s">
        <v>167</v>
      </c>
    </row>
    <row r="36" spans="1:21" ht="318.75" customHeight="1" x14ac:dyDescent="0.25">
      <c r="A36" s="2">
        <v>1873</v>
      </c>
      <c r="B36" s="2">
        <v>2</v>
      </c>
      <c r="C36" s="2">
        <v>1</v>
      </c>
      <c r="D36" s="2" t="s">
        <v>21</v>
      </c>
      <c r="E36" s="2" t="s">
        <v>168</v>
      </c>
      <c r="F36" s="3" t="b">
        <f>FALSE()</f>
        <v>0</v>
      </c>
      <c r="G36" s="3">
        <v>11</v>
      </c>
      <c r="H36" s="3" t="s">
        <v>23</v>
      </c>
      <c r="I36" s="3" t="s">
        <v>169</v>
      </c>
      <c r="J36" s="3" t="s">
        <v>170</v>
      </c>
      <c r="K36" s="4" t="s">
        <v>23</v>
      </c>
      <c r="L36" s="4">
        <v>11</v>
      </c>
      <c r="M36" s="4" t="s">
        <v>171</v>
      </c>
      <c r="N36" s="2">
        <f t="shared" si="2"/>
        <v>1</v>
      </c>
      <c r="O36" s="5">
        <f t="shared" si="3"/>
        <v>1</v>
      </c>
      <c r="P36" s="6">
        <v>4</v>
      </c>
      <c r="Q36" s="6">
        <v>5</v>
      </c>
      <c r="R36" s="6">
        <v>5</v>
      </c>
      <c r="S36" s="6">
        <v>5</v>
      </c>
      <c r="T36" s="6">
        <v>3</v>
      </c>
      <c r="U36" s="2"/>
    </row>
    <row r="37" spans="1:21" ht="318.75" customHeight="1" x14ac:dyDescent="0.25">
      <c r="A37" s="2">
        <v>1873</v>
      </c>
      <c r="B37" s="2">
        <v>2</v>
      </c>
      <c r="C37" s="2">
        <v>2</v>
      </c>
      <c r="D37" s="2" t="s">
        <v>21</v>
      </c>
      <c r="E37" s="2" t="s">
        <v>172</v>
      </c>
      <c r="F37" s="3" t="b">
        <f>FALSE()</f>
        <v>0</v>
      </c>
      <c r="G37" s="3">
        <v>24</v>
      </c>
      <c r="H37" s="3" t="s">
        <v>39</v>
      </c>
      <c r="I37" s="3" t="s">
        <v>173</v>
      </c>
      <c r="J37" s="3" t="s">
        <v>174</v>
      </c>
      <c r="K37" s="4" t="s">
        <v>39</v>
      </c>
      <c r="L37" s="4">
        <v>24</v>
      </c>
      <c r="M37" s="4" t="s">
        <v>175</v>
      </c>
      <c r="N37" s="2">
        <f t="shared" si="2"/>
        <v>1</v>
      </c>
      <c r="O37" s="5">
        <f t="shared" si="3"/>
        <v>1</v>
      </c>
      <c r="P37" s="6">
        <v>4</v>
      </c>
      <c r="Q37" s="6">
        <v>5</v>
      </c>
      <c r="R37" s="6">
        <v>5</v>
      </c>
      <c r="S37" s="6">
        <v>5</v>
      </c>
      <c r="T37" s="6">
        <v>3</v>
      </c>
      <c r="U37" s="2"/>
    </row>
    <row r="38" spans="1:21" ht="318.75" customHeight="1" x14ac:dyDescent="0.25">
      <c r="A38" s="2">
        <v>1873</v>
      </c>
      <c r="B38" s="2">
        <v>2</v>
      </c>
      <c r="C38" s="2">
        <v>3</v>
      </c>
      <c r="D38" s="2" t="s">
        <v>176</v>
      </c>
      <c r="E38" s="2" t="s">
        <v>177</v>
      </c>
      <c r="F38" s="3" t="b">
        <f>FALSE()</f>
        <v>0</v>
      </c>
      <c r="G38" s="3">
        <v>14</v>
      </c>
      <c r="H38" s="3" t="s">
        <v>39</v>
      </c>
      <c r="I38" s="3" t="s">
        <v>178</v>
      </c>
      <c r="J38" s="3" t="s">
        <v>179</v>
      </c>
      <c r="K38" s="4" t="s">
        <v>39</v>
      </c>
      <c r="L38" s="4">
        <v>14</v>
      </c>
      <c r="M38" s="4" t="s">
        <v>180</v>
      </c>
      <c r="N38" s="2">
        <f t="shared" si="2"/>
        <v>1</v>
      </c>
      <c r="O38" s="5">
        <f t="shared" si="3"/>
        <v>1</v>
      </c>
      <c r="P38" s="6">
        <v>5</v>
      </c>
      <c r="Q38" s="6">
        <v>5</v>
      </c>
      <c r="R38" s="6">
        <v>5</v>
      </c>
      <c r="S38" s="6">
        <v>5</v>
      </c>
      <c r="T38" s="6">
        <v>3</v>
      </c>
      <c r="U38" s="2"/>
    </row>
    <row r="39" spans="1:21" ht="318.75" customHeight="1" x14ac:dyDescent="0.25">
      <c r="A39" s="2">
        <v>1873</v>
      </c>
      <c r="B39" s="2">
        <v>2</v>
      </c>
      <c r="C39" s="2">
        <v>4</v>
      </c>
      <c r="D39" s="2" t="s">
        <v>176</v>
      </c>
      <c r="E39" s="2" t="s">
        <v>181</v>
      </c>
      <c r="F39" s="3" t="b">
        <f>FALSE()</f>
        <v>0</v>
      </c>
      <c r="G39" s="3">
        <v>8</v>
      </c>
      <c r="H39" s="3" t="s">
        <v>39</v>
      </c>
      <c r="I39" s="3" t="s">
        <v>182</v>
      </c>
      <c r="J39" s="3" t="s">
        <v>183</v>
      </c>
      <c r="K39" s="4" t="s">
        <v>39</v>
      </c>
      <c r="L39" s="4">
        <v>14</v>
      </c>
      <c r="M39" s="4" t="s">
        <v>184</v>
      </c>
      <c r="N39" s="2">
        <f t="shared" si="2"/>
        <v>1</v>
      </c>
      <c r="O39" s="5">
        <f t="shared" si="3"/>
        <v>0</v>
      </c>
      <c r="P39" s="6">
        <v>5</v>
      </c>
      <c r="Q39" s="6">
        <v>5</v>
      </c>
      <c r="R39" s="6">
        <v>5</v>
      </c>
      <c r="S39" s="6">
        <v>5</v>
      </c>
      <c r="T39" s="6">
        <v>4</v>
      </c>
      <c r="U39" s="2"/>
    </row>
    <row r="40" spans="1:21" ht="318.75" customHeight="1" x14ac:dyDescent="0.25">
      <c r="A40" s="2">
        <v>1873</v>
      </c>
      <c r="B40" s="2">
        <v>2</v>
      </c>
      <c r="C40" s="2">
        <v>5</v>
      </c>
      <c r="D40" s="2" t="s">
        <v>176</v>
      </c>
      <c r="E40" s="2" t="s">
        <v>177</v>
      </c>
      <c r="F40" s="3" t="b">
        <f>FALSE()</f>
        <v>0</v>
      </c>
      <c r="G40" s="3">
        <v>14</v>
      </c>
      <c r="H40" s="3" t="s">
        <v>39</v>
      </c>
      <c r="I40" s="3" t="s">
        <v>185</v>
      </c>
      <c r="J40" s="3" t="s">
        <v>186</v>
      </c>
      <c r="K40" s="4" t="s">
        <v>39</v>
      </c>
      <c r="L40" s="4">
        <v>14</v>
      </c>
      <c r="M40" s="4" t="s">
        <v>184</v>
      </c>
      <c r="N40" s="2">
        <f t="shared" si="2"/>
        <v>1</v>
      </c>
      <c r="O40" s="5">
        <f t="shared" si="3"/>
        <v>1</v>
      </c>
      <c r="P40" s="6">
        <v>5</v>
      </c>
      <c r="Q40" s="6">
        <v>5</v>
      </c>
      <c r="R40" s="6">
        <v>5</v>
      </c>
      <c r="S40" s="6">
        <v>5</v>
      </c>
      <c r="T40" s="6">
        <v>4</v>
      </c>
      <c r="U40" s="2"/>
    </row>
    <row r="41" spans="1:21" ht="318.75" customHeight="1" x14ac:dyDescent="0.25">
      <c r="A41" s="2">
        <v>1873</v>
      </c>
      <c r="B41" s="2">
        <v>2</v>
      </c>
      <c r="C41" s="2">
        <v>6</v>
      </c>
      <c r="D41" s="2" t="s">
        <v>176</v>
      </c>
      <c r="E41" s="2" t="s">
        <v>181</v>
      </c>
      <c r="F41" s="3" t="b">
        <f>FALSE()</f>
        <v>0</v>
      </c>
      <c r="G41" s="3">
        <v>14</v>
      </c>
      <c r="H41" s="3" t="s">
        <v>39</v>
      </c>
      <c r="I41" s="3" t="s">
        <v>187</v>
      </c>
      <c r="J41" s="3" t="s">
        <v>188</v>
      </c>
      <c r="K41" s="4" t="s">
        <v>39</v>
      </c>
      <c r="L41" s="4">
        <v>14</v>
      </c>
      <c r="M41" s="4" t="s">
        <v>184</v>
      </c>
      <c r="N41" s="2">
        <f t="shared" si="2"/>
        <v>1</v>
      </c>
      <c r="O41" s="5">
        <f t="shared" si="3"/>
        <v>1</v>
      </c>
      <c r="P41" s="6">
        <v>5</v>
      </c>
      <c r="Q41" s="6">
        <v>5</v>
      </c>
      <c r="R41" s="6">
        <v>5</v>
      </c>
      <c r="S41" s="6">
        <v>5</v>
      </c>
      <c r="T41" s="6">
        <v>3</v>
      </c>
      <c r="U41" s="2" t="s">
        <v>189</v>
      </c>
    </row>
    <row r="42" spans="1:21" ht="318.75" customHeight="1" x14ac:dyDescent="0.25">
      <c r="A42" s="2">
        <v>1873</v>
      </c>
      <c r="B42" s="2">
        <v>2</v>
      </c>
      <c r="C42" s="2">
        <v>7</v>
      </c>
      <c r="D42" s="2" t="s">
        <v>176</v>
      </c>
      <c r="E42" s="2" t="s">
        <v>177</v>
      </c>
      <c r="F42" s="3" t="b">
        <f>FALSE()</f>
        <v>0</v>
      </c>
      <c r="G42" s="3">
        <v>15</v>
      </c>
      <c r="H42" s="3" t="s">
        <v>39</v>
      </c>
      <c r="I42" s="3" t="s">
        <v>190</v>
      </c>
      <c r="J42" s="3" t="s">
        <v>191</v>
      </c>
      <c r="K42" s="4" t="s">
        <v>39</v>
      </c>
      <c r="L42" s="4">
        <v>14</v>
      </c>
      <c r="M42" s="4" t="s">
        <v>184</v>
      </c>
      <c r="N42" s="2">
        <f t="shared" si="2"/>
        <v>1</v>
      </c>
      <c r="O42" s="5">
        <f t="shared" si="3"/>
        <v>0</v>
      </c>
      <c r="P42" s="6">
        <v>5</v>
      </c>
      <c r="Q42" s="6">
        <v>5</v>
      </c>
      <c r="R42" s="6">
        <v>5</v>
      </c>
      <c r="S42" s="6">
        <v>5</v>
      </c>
      <c r="T42" s="6">
        <v>3</v>
      </c>
      <c r="U42" s="2" t="s">
        <v>192</v>
      </c>
    </row>
    <row r="43" spans="1:21" ht="318.75" customHeight="1" x14ac:dyDescent="0.25">
      <c r="A43" s="2">
        <v>1873</v>
      </c>
      <c r="B43" s="2">
        <v>2</v>
      </c>
      <c r="C43" s="2">
        <v>8</v>
      </c>
      <c r="D43" s="2" t="s">
        <v>55</v>
      </c>
      <c r="E43" s="2" t="s">
        <v>193</v>
      </c>
      <c r="F43" s="3" t="b">
        <f>FALSE()</f>
        <v>0</v>
      </c>
      <c r="G43" s="3">
        <v>8</v>
      </c>
      <c r="H43" s="3" t="s">
        <v>39</v>
      </c>
      <c r="I43" s="3" t="s">
        <v>194</v>
      </c>
      <c r="J43" s="3" t="s">
        <v>195</v>
      </c>
      <c r="K43" s="4" t="s">
        <v>39</v>
      </c>
      <c r="L43" s="4">
        <v>14</v>
      </c>
      <c r="M43" s="4" t="s">
        <v>196</v>
      </c>
      <c r="N43" s="2">
        <f t="shared" si="2"/>
        <v>1</v>
      </c>
      <c r="O43" s="5">
        <f t="shared" si="3"/>
        <v>0</v>
      </c>
      <c r="P43" s="6">
        <v>5</v>
      </c>
      <c r="Q43" s="6">
        <v>5</v>
      </c>
      <c r="R43" s="6">
        <v>5</v>
      </c>
      <c r="S43" s="6">
        <v>5</v>
      </c>
      <c r="T43" s="6">
        <v>4</v>
      </c>
      <c r="U43" s="2" t="s">
        <v>197</v>
      </c>
    </row>
    <row r="44" spans="1:21" ht="242.25" customHeight="1" x14ac:dyDescent="0.25">
      <c r="A44" s="2">
        <v>1873</v>
      </c>
      <c r="B44" s="2">
        <v>3</v>
      </c>
      <c r="C44" s="2">
        <v>1</v>
      </c>
      <c r="D44" s="2" t="s">
        <v>55</v>
      </c>
      <c r="E44" s="2" t="s">
        <v>198</v>
      </c>
      <c r="F44" s="3" t="b">
        <f>TRUE()</f>
        <v>1</v>
      </c>
      <c r="G44" s="3" t="s">
        <v>57</v>
      </c>
      <c r="H44" s="3" t="s">
        <v>58</v>
      </c>
      <c r="I44" s="3" t="s">
        <v>199</v>
      </c>
      <c r="J44" s="3" t="s">
        <v>200</v>
      </c>
      <c r="K44" s="4" t="s">
        <v>58</v>
      </c>
      <c r="L44" s="4"/>
      <c r="M44" s="4" t="s">
        <v>119</v>
      </c>
      <c r="N44" s="2">
        <f t="shared" si="2"/>
        <v>1</v>
      </c>
      <c r="O44" s="5" t="str">
        <f t="shared" si="3"/>
        <v/>
      </c>
      <c r="P44" s="6">
        <v>5</v>
      </c>
      <c r="Q44" s="6">
        <v>5</v>
      </c>
      <c r="R44" s="6">
        <v>4</v>
      </c>
      <c r="S44" s="6">
        <v>5</v>
      </c>
      <c r="T44" s="6">
        <v>5</v>
      </c>
      <c r="U44" s="2" t="s">
        <v>77</v>
      </c>
    </row>
    <row r="45" spans="1:21" ht="153.75" customHeight="1" x14ac:dyDescent="0.25">
      <c r="A45" s="8">
        <v>1132</v>
      </c>
      <c r="B45">
        <v>901</v>
      </c>
      <c r="C45" s="8">
        <v>1</v>
      </c>
      <c r="D45" s="8" t="s">
        <v>30</v>
      </c>
      <c r="E45" s="9" t="s">
        <v>201</v>
      </c>
      <c r="F45" s="3" t="b">
        <f>FALSE()</f>
        <v>0</v>
      </c>
      <c r="G45" s="3">
        <v>9</v>
      </c>
      <c r="H45" s="3" t="s">
        <v>32</v>
      </c>
      <c r="I45" s="3" t="s">
        <v>202</v>
      </c>
      <c r="J45" s="3" t="s">
        <v>203</v>
      </c>
      <c r="K45" s="4" t="s">
        <v>32</v>
      </c>
      <c r="L45" s="4">
        <v>9</v>
      </c>
      <c r="M45" s="4" t="s">
        <v>204</v>
      </c>
      <c r="N45" s="2">
        <f t="shared" si="2"/>
        <v>1</v>
      </c>
      <c r="O45" s="5">
        <f t="shared" si="3"/>
        <v>1</v>
      </c>
      <c r="P45" s="6">
        <v>4</v>
      </c>
      <c r="Q45" s="6">
        <v>5</v>
      </c>
      <c r="R45" s="6">
        <v>5</v>
      </c>
      <c r="S45" s="6">
        <v>5</v>
      </c>
      <c r="T45" s="6">
        <v>4</v>
      </c>
      <c r="U45" t="s">
        <v>205</v>
      </c>
    </row>
    <row r="46" spans="1:21" ht="153.75" customHeight="1" x14ac:dyDescent="0.25">
      <c r="A46" s="8">
        <v>1132</v>
      </c>
      <c r="B46" s="8">
        <v>902</v>
      </c>
      <c r="C46" s="8">
        <v>1</v>
      </c>
      <c r="D46" s="10" t="s">
        <v>206</v>
      </c>
      <c r="E46" s="9" t="s">
        <v>207</v>
      </c>
      <c r="F46" s="3" t="b">
        <f>FALSE()</f>
        <v>0</v>
      </c>
      <c r="G46" s="3">
        <v>4</v>
      </c>
      <c r="H46" s="3" t="s">
        <v>23</v>
      </c>
      <c r="I46" s="3" t="s">
        <v>208</v>
      </c>
      <c r="J46" s="3" t="s">
        <v>209</v>
      </c>
      <c r="K46" s="4" t="s">
        <v>23</v>
      </c>
      <c r="L46" s="4">
        <v>4</v>
      </c>
      <c r="M46" s="4" t="s">
        <v>210</v>
      </c>
      <c r="N46" s="2">
        <f t="shared" si="2"/>
        <v>1</v>
      </c>
      <c r="O46" s="5">
        <f t="shared" si="3"/>
        <v>1</v>
      </c>
      <c r="P46" s="6">
        <v>4</v>
      </c>
      <c r="Q46" s="6">
        <v>5</v>
      </c>
      <c r="R46" s="6">
        <v>5</v>
      </c>
      <c r="S46" s="6">
        <v>5</v>
      </c>
      <c r="T46" s="6">
        <v>3</v>
      </c>
      <c r="U46" t="s">
        <v>211</v>
      </c>
    </row>
    <row r="47" spans="1:21" ht="105" customHeight="1" x14ac:dyDescent="0.25">
      <c r="A47" s="8">
        <v>1153</v>
      </c>
      <c r="B47" s="8">
        <v>903</v>
      </c>
      <c r="C47" s="8">
        <v>1</v>
      </c>
      <c r="D47" s="10" t="s">
        <v>30</v>
      </c>
      <c r="E47" s="11" t="s">
        <v>212</v>
      </c>
      <c r="F47" s="3" t="b">
        <f>FALSE()</f>
        <v>0</v>
      </c>
      <c r="G47" s="3">
        <v>2</v>
      </c>
      <c r="H47" s="3" t="s">
        <v>32</v>
      </c>
      <c r="I47" s="3" t="s">
        <v>213</v>
      </c>
      <c r="J47" s="3" t="s">
        <v>214</v>
      </c>
      <c r="K47" s="4" t="s">
        <v>32</v>
      </c>
      <c r="L47" s="4">
        <v>2</v>
      </c>
      <c r="M47" s="4" t="s">
        <v>215</v>
      </c>
      <c r="N47" s="2">
        <f t="shared" si="2"/>
        <v>1</v>
      </c>
      <c r="O47" s="5">
        <f t="shared" si="3"/>
        <v>1</v>
      </c>
      <c r="P47" s="6">
        <v>5</v>
      </c>
      <c r="Q47" s="6">
        <v>5</v>
      </c>
      <c r="R47" s="6">
        <v>5</v>
      </c>
      <c r="S47" s="6">
        <v>5</v>
      </c>
      <c r="T47" s="6">
        <v>3</v>
      </c>
      <c r="U47" t="s">
        <v>216</v>
      </c>
    </row>
    <row r="48" spans="1:21" ht="105" customHeight="1" x14ac:dyDescent="0.25">
      <c r="A48" s="8">
        <v>1153</v>
      </c>
      <c r="B48" s="8">
        <v>904</v>
      </c>
      <c r="C48" s="8">
        <v>1</v>
      </c>
      <c r="D48" s="10" t="s">
        <v>30</v>
      </c>
      <c r="E48" s="11" t="s">
        <v>217</v>
      </c>
      <c r="F48" s="3" t="b">
        <f>FALSE()</f>
        <v>0</v>
      </c>
      <c r="G48" s="3">
        <v>4</v>
      </c>
      <c r="H48" s="3" t="s">
        <v>32</v>
      </c>
      <c r="I48" s="3" t="s">
        <v>218</v>
      </c>
      <c r="J48" s="3" t="s">
        <v>219</v>
      </c>
      <c r="K48" s="4" t="s">
        <v>32</v>
      </c>
      <c r="L48" s="4">
        <v>4</v>
      </c>
      <c r="M48" s="4" t="s">
        <v>220</v>
      </c>
      <c r="N48" s="2">
        <f t="shared" si="2"/>
        <v>1</v>
      </c>
      <c r="O48" s="5">
        <f t="shared" si="3"/>
        <v>1</v>
      </c>
      <c r="P48" s="6">
        <v>5</v>
      </c>
      <c r="Q48" s="6">
        <v>5</v>
      </c>
      <c r="R48" s="6">
        <v>5</v>
      </c>
      <c r="S48" s="6">
        <v>5</v>
      </c>
      <c r="T48" s="6">
        <v>3</v>
      </c>
      <c r="U48" t="s">
        <v>221</v>
      </c>
    </row>
    <row r="49" spans="1:21" ht="300" customHeight="1" x14ac:dyDescent="0.25">
      <c r="A49" s="8">
        <v>1828</v>
      </c>
      <c r="B49" s="8">
        <v>905</v>
      </c>
      <c r="C49" s="8">
        <v>1</v>
      </c>
      <c r="D49" s="10" t="s">
        <v>222</v>
      </c>
      <c r="E49" s="11" t="s">
        <v>223</v>
      </c>
      <c r="F49" s="3" t="b">
        <f>FALSE()</f>
        <v>0</v>
      </c>
      <c r="G49" s="3">
        <v>7</v>
      </c>
      <c r="H49" s="3" t="s">
        <v>32</v>
      </c>
      <c r="I49" s="3" t="s">
        <v>224</v>
      </c>
      <c r="J49" s="3" t="s">
        <v>225</v>
      </c>
      <c r="K49" s="4" t="s">
        <v>32</v>
      </c>
      <c r="L49" s="4">
        <v>7</v>
      </c>
      <c r="M49" s="4" t="s">
        <v>226</v>
      </c>
      <c r="N49" s="2">
        <f t="shared" si="2"/>
        <v>1</v>
      </c>
      <c r="O49" s="5">
        <f t="shared" si="3"/>
        <v>1</v>
      </c>
      <c r="P49" s="6">
        <v>4</v>
      </c>
      <c r="Q49" s="6">
        <v>5</v>
      </c>
      <c r="R49" s="6">
        <v>4</v>
      </c>
      <c r="S49" s="6">
        <v>5</v>
      </c>
      <c r="T49" s="6">
        <v>4</v>
      </c>
      <c r="U49" t="s">
        <v>227</v>
      </c>
    </row>
    <row r="50" spans="1:21" ht="285" customHeight="1" x14ac:dyDescent="0.25">
      <c r="A50" s="8">
        <v>1828</v>
      </c>
      <c r="B50" s="8">
        <v>906</v>
      </c>
      <c r="C50" s="8">
        <v>1</v>
      </c>
      <c r="D50" s="10" t="s">
        <v>21</v>
      </c>
      <c r="E50" s="11" t="s">
        <v>228</v>
      </c>
      <c r="F50" s="3" t="b">
        <f>FALSE()</f>
        <v>0</v>
      </c>
      <c r="G50" s="3">
        <v>6</v>
      </c>
      <c r="H50" s="3" t="s">
        <v>39</v>
      </c>
      <c r="I50" s="3" t="s">
        <v>229</v>
      </c>
      <c r="J50" s="3" t="s">
        <v>230</v>
      </c>
      <c r="K50" s="4" t="s">
        <v>39</v>
      </c>
      <c r="L50" s="4">
        <v>6</v>
      </c>
      <c r="M50" s="4" t="s">
        <v>231</v>
      </c>
      <c r="N50" s="2">
        <f t="shared" si="2"/>
        <v>1</v>
      </c>
      <c r="O50" s="5">
        <f t="shared" si="3"/>
        <v>1</v>
      </c>
      <c r="P50" s="6">
        <v>3</v>
      </c>
      <c r="Q50" s="6">
        <v>5</v>
      </c>
      <c r="R50" s="6">
        <v>4</v>
      </c>
      <c r="S50" s="6">
        <v>5</v>
      </c>
      <c r="T50" s="6">
        <v>3</v>
      </c>
      <c r="U50" t="s">
        <v>232</v>
      </c>
    </row>
    <row r="51" spans="1:21" ht="300" customHeight="1" x14ac:dyDescent="0.25">
      <c r="A51" s="8">
        <v>1873</v>
      </c>
      <c r="B51" s="8">
        <v>907</v>
      </c>
      <c r="C51" s="8">
        <v>1</v>
      </c>
      <c r="D51" s="10" t="s">
        <v>233</v>
      </c>
      <c r="E51" s="11" t="s">
        <v>234</v>
      </c>
      <c r="F51" s="3" t="b">
        <f>FALSE()</f>
        <v>0</v>
      </c>
      <c r="G51" s="3">
        <v>18</v>
      </c>
      <c r="H51" s="3" t="s">
        <v>32</v>
      </c>
      <c r="I51" s="3" t="s">
        <v>235</v>
      </c>
      <c r="J51" s="3" t="s">
        <v>236</v>
      </c>
      <c r="K51" s="4" t="s">
        <v>32</v>
      </c>
      <c r="L51" s="4">
        <v>19</v>
      </c>
      <c r="M51" s="4" t="s">
        <v>237</v>
      </c>
      <c r="N51" s="2">
        <f t="shared" si="2"/>
        <v>1</v>
      </c>
      <c r="O51" s="5">
        <f t="shared" si="3"/>
        <v>0</v>
      </c>
      <c r="P51" s="6">
        <v>4</v>
      </c>
      <c r="Q51" s="6">
        <v>5</v>
      </c>
      <c r="R51" s="6">
        <v>4</v>
      </c>
      <c r="S51" s="6">
        <v>4</v>
      </c>
      <c r="T51" s="6">
        <v>4</v>
      </c>
      <c r="U51" t="s">
        <v>238</v>
      </c>
    </row>
    <row r="52" spans="1:21" ht="15" customHeight="1" x14ac:dyDescent="0.25">
      <c r="P52" s="6"/>
      <c r="Q52" s="6"/>
      <c r="R52" s="6"/>
      <c r="S52" s="6"/>
      <c r="T52" s="6"/>
    </row>
  </sheetData>
  <dataValidations count="3">
    <dataValidation type="whole" allowBlank="1" error="Use uma nota inteira de 1 a 5" sqref="O2:S52" xr:uid="{00000000-0002-0000-0000-000000000000}">
      <formula1>1</formula1>
      <formula2>5</formula2>
    </dataValidation>
    <dataValidation type="list" allowBlank="1" sqref="K2:K51 L44:M51" xr:uid="{00000000-0002-0000-0000-000001000000}">
      <formula1>"Sintaxe,Execução,Lógica,Nenhum (código correto)"</formula1>
      <formula2>0</formula2>
    </dataValidation>
    <dataValidation type="list" allowBlank="1" sqref="F2:F51" xr:uid="{00000000-0002-0000-0000-000002000000}">
      <formula1>"TRUE,FALSE"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51"/>
  <sheetViews>
    <sheetView topLeftCell="I1" zoomScaleNormal="100" workbookViewId="0">
      <pane ySplit="1" topLeftCell="A23" activePane="bottomLeft" state="frozen"/>
      <selection activeCell="I1" sqref="I1"/>
      <selection pane="bottomLeft" activeCell="S21" sqref="S21"/>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239</v>
      </c>
      <c r="G1" s="1" t="s">
        <v>240</v>
      </c>
      <c r="H1" s="1" t="s">
        <v>241</v>
      </c>
      <c r="I1" s="1" t="s">
        <v>242</v>
      </c>
      <c r="J1" s="1" t="s">
        <v>243</v>
      </c>
      <c r="K1" s="1" t="s">
        <v>10</v>
      </c>
      <c r="L1" s="1" t="s">
        <v>11</v>
      </c>
      <c r="M1" s="1" t="s">
        <v>12</v>
      </c>
      <c r="N1" s="1" t="s">
        <v>13</v>
      </c>
      <c r="O1" s="1" t="s">
        <v>14</v>
      </c>
      <c r="P1" s="1" t="s">
        <v>15</v>
      </c>
      <c r="Q1" s="1" t="s">
        <v>16</v>
      </c>
      <c r="R1" s="1" t="s">
        <v>17</v>
      </c>
      <c r="S1" s="1" t="s">
        <v>18</v>
      </c>
      <c r="T1" s="1" t="s">
        <v>19</v>
      </c>
      <c r="U1" s="1" t="s">
        <v>20</v>
      </c>
    </row>
    <row r="2" spans="1:21" ht="114.75" customHeight="1" x14ac:dyDescent="0.25">
      <c r="A2" s="12">
        <v>1132</v>
      </c>
      <c r="B2" s="12">
        <v>1</v>
      </c>
      <c r="C2" s="12">
        <v>1</v>
      </c>
      <c r="D2" s="12" t="s">
        <v>21</v>
      </c>
      <c r="E2" s="2" t="s">
        <v>22</v>
      </c>
      <c r="F2" s="13" t="b">
        <f>FALSE()</f>
        <v>0</v>
      </c>
      <c r="G2" s="13">
        <v>5</v>
      </c>
      <c r="H2" s="13" t="s">
        <v>32</v>
      </c>
      <c r="I2" s="13" t="s">
        <v>244</v>
      </c>
      <c r="J2" s="13" t="s">
        <v>245</v>
      </c>
      <c r="K2" s="14" t="s">
        <v>23</v>
      </c>
      <c r="L2" s="14">
        <v>6</v>
      </c>
      <c r="M2" s="14" t="s">
        <v>26</v>
      </c>
      <c r="N2" s="12">
        <f t="shared" ref="N2:N33" si="0">IF(AND(H2&lt;&gt;"",K2&lt;&gt;""),IF(H2=K2,1,0),"")</f>
        <v>0</v>
      </c>
      <c r="O2" s="5">
        <f t="shared" ref="O2:O33" si="1">IF(OR(K2="",K2="Nenhum (código correto)",L2=""),"",IF(G2="","",IF(G2=L2,1,0)))</f>
        <v>0</v>
      </c>
      <c r="P2" s="15">
        <v>2</v>
      </c>
      <c r="Q2" s="15">
        <v>5</v>
      </c>
      <c r="R2" s="15">
        <v>4</v>
      </c>
      <c r="S2" s="15">
        <v>5</v>
      </c>
      <c r="T2" s="15">
        <v>3</v>
      </c>
      <c r="U2" s="12" t="s">
        <v>246</v>
      </c>
    </row>
    <row r="3" spans="1:21" ht="114.75" customHeight="1" x14ac:dyDescent="0.25">
      <c r="A3" s="12">
        <v>1132</v>
      </c>
      <c r="B3" s="12">
        <v>1</v>
      </c>
      <c r="C3" s="12">
        <v>2</v>
      </c>
      <c r="D3" s="12" t="s">
        <v>21</v>
      </c>
      <c r="E3" s="2" t="s">
        <v>27</v>
      </c>
      <c r="F3" s="13" t="b">
        <f>FALSE()</f>
        <v>0</v>
      </c>
      <c r="G3" s="13">
        <v>5</v>
      </c>
      <c r="H3" s="13" t="s">
        <v>23</v>
      </c>
      <c r="I3" s="13" t="s">
        <v>247</v>
      </c>
      <c r="J3" s="13" t="s">
        <v>248</v>
      </c>
      <c r="K3" s="14" t="s">
        <v>23</v>
      </c>
      <c r="L3" s="14">
        <v>6</v>
      </c>
      <c r="M3" s="14" t="s">
        <v>26</v>
      </c>
      <c r="N3" s="12">
        <f t="shared" si="0"/>
        <v>1</v>
      </c>
      <c r="O3" s="5">
        <f t="shared" si="1"/>
        <v>0</v>
      </c>
      <c r="P3" s="15">
        <v>3</v>
      </c>
      <c r="Q3" s="15">
        <v>5</v>
      </c>
      <c r="R3" s="15">
        <v>5</v>
      </c>
      <c r="S3" s="15">
        <v>5</v>
      </c>
      <c r="T3" s="15">
        <v>3</v>
      </c>
      <c r="U3" s="12" t="s">
        <v>249</v>
      </c>
    </row>
    <row r="4" spans="1:21" ht="127.5" customHeight="1" x14ac:dyDescent="0.25">
      <c r="A4" s="12">
        <v>1132</v>
      </c>
      <c r="B4" s="12">
        <v>1</v>
      </c>
      <c r="C4" s="12">
        <v>3</v>
      </c>
      <c r="D4" s="12" t="s">
        <v>30</v>
      </c>
      <c r="E4" s="2" t="s">
        <v>31</v>
      </c>
      <c r="F4" s="13" t="b">
        <f>FALSE()</f>
        <v>0</v>
      </c>
      <c r="G4" s="13">
        <v>3</v>
      </c>
      <c r="H4" s="13" t="s">
        <v>23</v>
      </c>
      <c r="I4" s="13" t="s">
        <v>250</v>
      </c>
      <c r="J4" s="13" t="s">
        <v>251</v>
      </c>
      <c r="K4" s="14" t="s">
        <v>32</v>
      </c>
      <c r="L4" s="14">
        <v>7</v>
      </c>
      <c r="M4" s="14" t="s">
        <v>35</v>
      </c>
      <c r="N4" s="12">
        <f t="shared" si="0"/>
        <v>0</v>
      </c>
      <c r="O4" s="5">
        <f t="shared" si="1"/>
        <v>0</v>
      </c>
      <c r="P4" s="15">
        <v>5</v>
      </c>
      <c r="Q4" s="15">
        <v>5</v>
      </c>
      <c r="R4" s="15">
        <v>2</v>
      </c>
      <c r="S4" s="15">
        <v>4</v>
      </c>
      <c r="T4" s="15">
        <v>3</v>
      </c>
      <c r="U4" s="12" t="s">
        <v>252</v>
      </c>
    </row>
    <row r="5" spans="1:21" ht="114.75" customHeight="1" x14ac:dyDescent="0.25">
      <c r="A5" s="12">
        <v>1132</v>
      </c>
      <c r="B5" s="12">
        <v>1</v>
      </c>
      <c r="C5" s="12">
        <v>4</v>
      </c>
      <c r="D5" s="12" t="s">
        <v>21</v>
      </c>
      <c r="E5" s="2" t="s">
        <v>36</v>
      </c>
      <c r="F5" s="13" t="b">
        <f>FALSE()</f>
        <v>0</v>
      </c>
      <c r="G5" s="13">
        <v>3</v>
      </c>
      <c r="H5" s="13" t="s">
        <v>23</v>
      </c>
      <c r="I5" s="13" t="s">
        <v>253</v>
      </c>
      <c r="J5" s="13" t="s">
        <v>254</v>
      </c>
      <c r="K5" s="14" t="s">
        <v>39</v>
      </c>
      <c r="L5" s="14">
        <v>3</v>
      </c>
      <c r="M5" s="14" t="s">
        <v>40</v>
      </c>
      <c r="N5" s="12">
        <f t="shared" si="0"/>
        <v>0</v>
      </c>
      <c r="O5" s="5">
        <f t="shared" si="1"/>
        <v>1</v>
      </c>
      <c r="P5" s="15">
        <v>5</v>
      </c>
      <c r="Q5" s="15">
        <v>5</v>
      </c>
      <c r="R5" s="15">
        <v>4</v>
      </c>
      <c r="S5" s="15">
        <v>5</v>
      </c>
      <c r="T5" s="15">
        <v>3</v>
      </c>
      <c r="U5" s="12" t="s">
        <v>255</v>
      </c>
    </row>
    <row r="6" spans="1:21" ht="114.75" customHeight="1" x14ac:dyDescent="0.25">
      <c r="A6" s="12">
        <v>1132</v>
      </c>
      <c r="B6" s="12">
        <v>1</v>
      </c>
      <c r="C6" s="12">
        <v>5</v>
      </c>
      <c r="D6" s="12" t="s">
        <v>21</v>
      </c>
      <c r="E6" s="2" t="s">
        <v>42</v>
      </c>
      <c r="F6" s="13" t="b">
        <f>FALSE()</f>
        <v>0</v>
      </c>
      <c r="G6" s="13">
        <v>3</v>
      </c>
      <c r="H6" s="13" t="s">
        <v>23</v>
      </c>
      <c r="I6" s="13" t="s">
        <v>256</v>
      </c>
      <c r="J6" s="13" t="s">
        <v>257</v>
      </c>
      <c r="K6" s="14" t="s">
        <v>39</v>
      </c>
      <c r="L6" s="14">
        <v>3</v>
      </c>
      <c r="M6" s="14" t="s">
        <v>40</v>
      </c>
      <c r="N6" s="12">
        <f t="shared" si="0"/>
        <v>0</v>
      </c>
      <c r="O6" s="5">
        <f t="shared" si="1"/>
        <v>1</v>
      </c>
      <c r="P6" s="15">
        <v>4</v>
      </c>
      <c r="Q6" s="15">
        <v>5</v>
      </c>
      <c r="R6" s="15">
        <v>4</v>
      </c>
      <c r="S6" s="15">
        <v>4</v>
      </c>
      <c r="T6" s="15">
        <v>3</v>
      </c>
      <c r="U6" s="12" t="s">
        <v>258</v>
      </c>
    </row>
    <row r="7" spans="1:21" ht="114.75" customHeight="1" x14ac:dyDescent="0.25">
      <c r="A7" s="12">
        <v>1132</v>
      </c>
      <c r="B7" s="12">
        <v>1</v>
      </c>
      <c r="C7" s="12">
        <v>6</v>
      </c>
      <c r="D7" s="12" t="s">
        <v>21</v>
      </c>
      <c r="E7" s="2" t="s">
        <v>46</v>
      </c>
      <c r="F7" s="13" t="b">
        <f>FALSE()</f>
        <v>0</v>
      </c>
      <c r="G7" s="13">
        <v>3</v>
      </c>
      <c r="H7" s="13" t="s">
        <v>23</v>
      </c>
      <c r="I7" s="13" t="s">
        <v>259</v>
      </c>
      <c r="J7" s="13" t="s">
        <v>260</v>
      </c>
      <c r="K7" s="14" t="s">
        <v>39</v>
      </c>
      <c r="L7" s="14">
        <v>3</v>
      </c>
      <c r="M7" s="14" t="s">
        <v>49</v>
      </c>
      <c r="N7" s="12">
        <f t="shared" si="0"/>
        <v>0</v>
      </c>
      <c r="O7" s="5">
        <f t="shared" si="1"/>
        <v>1</v>
      </c>
      <c r="P7" s="15">
        <v>4</v>
      </c>
      <c r="Q7" s="15">
        <v>5</v>
      </c>
      <c r="R7" s="15">
        <v>4</v>
      </c>
      <c r="S7" s="15">
        <v>5</v>
      </c>
      <c r="T7" s="15">
        <v>3</v>
      </c>
      <c r="U7" s="12" t="s">
        <v>261</v>
      </c>
    </row>
    <row r="8" spans="1:21" ht="127.5" customHeight="1" x14ac:dyDescent="0.25">
      <c r="A8" s="12">
        <v>1132</v>
      </c>
      <c r="B8" s="12">
        <v>1</v>
      </c>
      <c r="C8" s="12">
        <v>7</v>
      </c>
      <c r="D8" s="12" t="s">
        <v>30</v>
      </c>
      <c r="E8" s="2" t="s">
        <v>51</v>
      </c>
      <c r="F8" s="13" t="b">
        <f>FALSE()</f>
        <v>0</v>
      </c>
      <c r="G8" s="13">
        <v>6</v>
      </c>
      <c r="H8" s="13" t="s">
        <v>32</v>
      </c>
      <c r="I8" s="13" t="s">
        <v>262</v>
      </c>
      <c r="J8" s="13" t="s">
        <v>263</v>
      </c>
      <c r="K8" s="14" t="s">
        <v>32</v>
      </c>
      <c r="L8" s="14">
        <v>7</v>
      </c>
      <c r="M8" s="14" t="s">
        <v>54</v>
      </c>
      <c r="N8" s="12">
        <f t="shared" si="0"/>
        <v>1</v>
      </c>
      <c r="O8" s="5">
        <f t="shared" si="1"/>
        <v>0</v>
      </c>
      <c r="P8" s="15">
        <v>4</v>
      </c>
      <c r="Q8" s="15">
        <v>5</v>
      </c>
      <c r="R8" s="15">
        <v>5</v>
      </c>
      <c r="S8" s="15">
        <v>5</v>
      </c>
      <c r="T8" s="15">
        <v>3</v>
      </c>
      <c r="U8" s="12" t="s">
        <v>264</v>
      </c>
    </row>
    <row r="9" spans="1:21" ht="165.75" customHeight="1" x14ac:dyDescent="0.25">
      <c r="A9" s="12">
        <v>1132</v>
      </c>
      <c r="B9" s="12">
        <v>1</v>
      </c>
      <c r="C9" s="12">
        <v>8</v>
      </c>
      <c r="D9" s="12" t="s">
        <v>55</v>
      </c>
      <c r="E9" s="2" t="s">
        <v>56</v>
      </c>
      <c r="F9" s="13" t="b">
        <f>FALSE()</f>
        <v>0</v>
      </c>
      <c r="G9" s="13">
        <v>8</v>
      </c>
      <c r="H9" s="13" t="s">
        <v>32</v>
      </c>
      <c r="I9" s="13" t="s">
        <v>265</v>
      </c>
      <c r="J9" s="13" t="s">
        <v>266</v>
      </c>
      <c r="K9" s="14" t="s">
        <v>58</v>
      </c>
      <c r="L9" s="14"/>
      <c r="M9" s="14" t="s">
        <v>61</v>
      </c>
      <c r="N9" s="12">
        <f t="shared" si="0"/>
        <v>0</v>
      </c>
      <c r="O9" s="5" t="str">
        <f t="shared" si="1"/>
        <v/>
      </c>
      <c r="P9" s="15">
        <v>5</v>
      </c>
      <c r="Q9" s="15">
        <v>5</v>
      </c>
      <c r="R9" s="15">
        <v>2</v>
      </c>
      <c r="S9" s="15">
        <v>4</v>
      </c>
      <c r="T9" s="15">
        <v>3</v>
      </c>
      <c r="U9" s="12" t="s">
        <v>267</v>
      </c>
    </row>
    <row r="10" spans="1:21" ht="165.75" customHeight="1" x14ac:dyDescent="0.25">
      <c r="A10" s="12">
        <v>1132</v>
      </c>
      <c r="B10" s="12">
        <v>2</v>
      </c>
      <c r="C10" s="12">
        <v>1</v>
      </c>
      <c r="D10" s="12" t="s">
        <v>21</v>
      </c>
      <c r="E10" s="2" t="s">
        <v>63</v>
      </c>
      <c r="F10" s="13" t="b">
        <f>FALSE()</f>
        <v>0</v>
      </c>
      <c r="G10" s="13">
        <v>5</v>
      </c>
      <c r="H10" s="13" t="s">
        <v>23</v>
      </c>
      <c r="I10" s="13" t="s">
        <v>268</v>
      </c>
      <c r="J10" s="13" t="s">
        <v>269</v>
      </c>
      <c r="K10" s="14" t="s">
        <v>39</v>
      </c>
      <c r="L10" s="14">
        <v>6</v>
      </c>
      <c r="M10" s="14" t="s">
        <v>66</v>
      </c>
      <c r="N10" s="12">
        <f t="shared" si="0"/>
        <v>0</v>
      </c>
      <c r="O10" s="5">
        <f t="shared" si="1"/>
        <v>0</v>
      </c>
      <c r="P10" s="15">
        <v>2</v>
      </c>
      <c r="Q10" s="15">
        <v>5</v>
      </c>
      <c r="R10" s="15">
        <v>3</v>
      </c>
      <c r="S10" s="15">
        <v>5</v>
      </c>
      <c r="T10" s="15">
        <v>4</v>
      </c>
      <c r="U10" s="12" t="s">
        <v>270</v>
      </c>
    </row>
    <row r="11" spans="1:21" ht="153" customHeight="1" x14ac:dyDescent="0.25">
      <c r="A11" s="12">
        <v>1132</v>
      </c>
      <c r="B11" s="12">
        <v>2</v>
      </c>
      <c r="C11" s="12">
        <v>2</v>
      </c>
      <c r="D11" s="12" t="s">
        <v>30</v>
      </c>
      <c r="E11" s="2" t="s">
        <v>67</v>
      </c>
      <c r="F11" s="13" t="b">
        <f>FALSE()</f>
        <v>0</v>
      </c>
      <c r="G11" s="13">
        <v>4</v>
      </c>
      <c r="H11" s="13" t="s">
        <v>32</v>
      </c>
      <c r="I11" s="13" t="s">
        <v>271</v>
      </c>
      <c r="J11" s="13" t="s">
        <v>272</v>
      </c>
      <c r="K11" s="14" t="s">
        <v>32</v>
      </c>
      <c r="L11" s="14">
        <v>6</v>
      </c>
      <c r="M11" s="14" t="s">
        <v>70</v>
      </c>
      <c r="N11" s="12">
        <f t="shared" si="0"/>
        <v>1</v>
      </c>
      <c r="O11" s="5">
        <f t="shared" si="1"/>
        <v>0</v>
      </c>
      <c r="P11" s="15">
        <v>3</v>
      </c>
      <c r="Q11" s="15">
        <v>5</v>
      </c>
      <c r="R11" s="15">
        <v>5</v>
      </c>
      <c r="S11" s="15">
        <v>5</v>
      </c>
      <c r="T11" s="15">
        <v>3</v>
      </c>
      <c r="U11" s="12" t="s">
        <v>273</v>
      </c>
    </row>
    <row r="12" spans="1:21" ht="153" customHeight="1" x14ac:dyDescent="0.25">
      <c r="A12" s="12">
        <v>1132</v>
      </c>
      <c r="B12" s="12">
        <v>2</v>
      </c>
      <c r="C12" s="12">
        <v>3</v>
      </c>
      <c r="D12" s="12" t="s">
        <v>30</v>
      </c>
      <c r="E12" s="2" t="s">
        <v>71</v>
      </c>
      <c r="F12" s="13" t="b">
        <f>FALSE()</f>
        <v>0</v>
      </c>
      <c r="G12" s="13">
        <v>4</v>
      </c>
      <c r="H12" s="13" t="s">
        <v>32</v>
      </c>
      <c r="I12" s="13" t="s">
        <v>274</v>
      </c>
      <c r="J12" s="13" t="s">
        <v>275</v>
      </c>
      <c r="K12" s="14" t="s">
        <v>32</v>
      </c>
      <c r="L12" s="14">
        <v>6</v>
      </c>
      <c r="M12" s="14" t="s">
        <v>70</v>
      </c>
      <c r="N12" s="12">
        <f t="shared" si="0"/>
        <v>1</v>
      </c>
      <c r="O12" s="5">
        <f t="shared" si="1"/>
        <v>0</v>
      </c>
      <c r="P12" s="15">
        <v>3</v>
      </c>
      <c r="Q12" s="15">
        <v>5</v>
      </c>
      <c r="R12" s="15">
        <v>5</v>
      </c>
      <c r="S12" s="15">
        <v>5</v>
      </c>
      <c r="T12" s="15">
        <v>3</v>
      </c>
      <c r="U12" s="12" t="s">
        <v>273</v>
      </c>
    </row>
    <row r="13" spans="1:21" ht="165.75" customHeight="1" x14ac:dyDescent="0.25">
      <c r="A13" s="12">
        <v>1132</v>
      </c>
      <c r="B13" s="12">
        <v>2</v>
      </c>
      <c r="C13" s="12">
        <v>4</v>
      </c>
      <c r="D13" s="12" t="s">
        <v>55</v>
      </c>
      <c r="E13" s="2" t="s">
        <v>74</v>
      </c>
      <c r="F13" s="13" t="b">
        <f>TRUE()</f>
        <v>1</v>
      </c>
      <c r="G13" s="13" t="s">
        <v>57</v>
      </c>
      <c r="H13" s="13" t="s">
        <v>58</v>
      </c>
      <c r="I13" s="13" t="s">
        <v>276</v>
      </c>
      <c r="J13" s="13" t="s">
        <v>277</v>
      </c>
      <c r="K13" s="14" t="s">
        <v>58</v>
      </c>
      <c r="L13" s="14"/>
      <c r="M13" s="14" t="s">
        <v>61</v>
      </c>
      <c r="N13" s="12">
        <f t="shared" si="0"/>
        <v>1</v>
      </c>
      <c r="O13" s="5" t="str">
        <f t="shared" si="1"/>
        <v/>
      </c>
      <c r="P13" s="15">
        <v>5</v>
      </c>
      <c r="Q13" s="15">
        <v>5</v>
      </c>
      <c r="R13" s="15">
        <v>4</v>
      </c>
      <c r="S13" s="15">
        <v>5</v>
      </c>
      <c r="T13" s="15">
        <v>5</v>
      </c>
      <c r="U13" s="12" t="s">
        <v>278</v>
      </c>
    </row>
    <row r="14" spans="1:21" ht="153" customHeight="1" x14ac:dyDescent="0.25">
      <c r="A14" s="12">
        <v>1132</v>
      </c>
      <c r="B14" s="12">
        <v>3</v>
      </c>
      <c r="C14" s="12">
        <v>1</v>
      </c>
      <c r="D14" s="12" t="s">
        <v>21</v>
      </c>
      <c r="E14" s="2" t="s">
        <v>78</v>
      </c>
      <c r="F14" s="13" t="b">
        <f>TRUE()</f>
        <v>1</v>
      </c>
      <c r="G14" s="13" t="s">
        <v>57</v>
      </c>
      <c r="H14" s="13" t="s">
        <v>58</v>
      </c>
      <c r="I14" s="13" t="s">
        <v>279</v>
      </c>
      <c r="J14" s="13" t="s">
        <v>280</v>
      </c>
      <c r="K14" s="14" t="s">
        <v>58</v>
      </c>
      <c r="L14" s="14"/>
      <c r="M14" s="14" t="s">
        <v>81</v>
      </c>
      <c r="N14" s="12">
        <f t="shared" si="0"/>
        <v>1</v>
      </c>
      <c r="O14" s="5" t="str">
        <f t="shared" si="1"/>
        <v/>
      </c>
      <c r="P14" s="15">
        <v>5</v>
      </c>
      <c r="Q14" s="15">
        <v>5</v>
      </c>
      <c r="R14" s="15">
        <v>4</v>
      </c>
      <c r="S14" s="15">
        <v>5</v>
      </c>
      <c r="T14" s="15">
        <v>5</v>
      </c>
      <c r="U14" s="12" t="s">
        <v>278</v>
      </c>
    </row>
    <row r="15" spans="1:21" ht="153" customHeight="1" x14ac:dyDescent="0.25">
      <c r="A15" s="12">
        <v>1132</v>
      </c>
      <c r="B15" s="12">
        <v>3</v>
      </c>
      <c r="C15" s="12">
        <v>2</v>
      </c>
      <c r="D15" s="12" t="s">
        <v>55</v>
      </c>
      <c r="E15" s="2" t="s">
        <v>83</v>
      </c>
      <c r="F15" s="13" t="b">
        <f>FALSE()</f>
        <v>0</v>
      </c>
      <c r="G15" s="13">
        <v>7</v>
      </c>
      <c r="H15" s="13" t="s">
        <v>32</v>
      </c>
      <c r="I15" s="13" t="s">
        <v>281</v>
      </c>
      <c r="J15" s="13" t="s">
        <v>282</v>
      </c>
      <c r="K15" s="14" t="s">
        <v>58</v>
      </c>
      <c r="L15" s="14"/>
      <c r="M15" s="14" t="s">
        <v>61</v>
      </c>
      <c r="N15" s="12">
        <f t="shared" si="0"/>
        <v>0</v>
      </c>
      <c r="O15" s="5" t="str">
        <f t="shared" si="1"/>
        <v/>
      </c>
      <c r="P15" s="15">
        <v>5</v>
      </c>
      <c r="Q15" s="15">
        <v>5</v>
      </c>
      <c r="R15" s="15">
        <v>2</v>
      </c>
      <c r="S15" s="15">
        <v>4</v>
      </c>
      <c r="T15" s="15">
        <v>3</v>
      </c>
      <c r="U15" s="12" t="s">
        <v>283</v>
      </c>
    </row>
    <row r="16" spans="1:21" ht="114.75" customHeight="1" x14ac:dyDescent="0.25">
      <c r="A16" s="12">
        <v>1153</v>
      </c>
      <c r="B16" s="12">
        <v>1</v>
      </c>
      <c r="C16" s="12">
        <v>1</v>
      </c>
      <c r="D16" s="12" t="s">
        <v>55</v>
      </c>
      <c r="E16" s="2" t="s">
        <v>86</v>
      </c>
      <c r="F16" s="13" t="b">
        <f>TRUE()</f>
        <v>1</v>
      </c>
      <c r="G16" s="13" t="s">
        <v>57</v>
      </c>
      <c r="H16" s="13" t="s">
        <v>58</v>
      </c>
      <c r="I16" s="13" t="s">
        <v>284</v>
      </c>
      <c r="J16" s="13" t="s">
        <v>285</v>
      </c>
      <c r="K16" s="14" t="s">
        <v>58</v>
      </c>
      <c r="L16" s="14"/>
      <c r="M16" s="14" t="s">
        <v>89</v>
      </c>
      <c r="N16" s="12">
        <f t="shared" si="0"/>
        <v>1</v>
      </c>
      <c r="O16" s="5" t="str">
        <f t="shared" si="1"/>
        <v/>
      </c>
      <c r="P16" s="15">
        <v>5</v>
      </c>
      <c r="Q16" s="15">
        <v>5</v>
      </c>
      <c r="R16" s="15">
        <v>4</v>
      </c>
      <c r="S16" s="15">
        <v>5</v>
      </c>
      <c r="T16" s="15">
        <v>5</v>
      </c>
      <c r="U16" s="12" t="s">
        <v>286</v>
      </c>
    </row>
    <row r="17" spans="1:21" ht="114.75" customHeight="1" x14ac:dyDescent="0.25">
      <c r="A17" s="12">
        <v>1153</v>
      </c>
      <c r="B17" s="12">
        <v>2</v>
      </c>
      <c r="C17" s="12">
        <v>1</v>
      </c>
      <c r="D17" s="12" t="s">
        <v>30</v>
      </c>
      <c r="E17" s="2" t="s">
        <v>91</v>
      </c>
      <c r="F17" s="13" t="b">
        <f>FALSE()</f>
        <v>0</v>
      </c>
      <c r="G17" s="13">
        <v>6</v>
      </c>
      <c r="H17" s="13" t="s">
        <v>32</v>
      </c>
      <c r="I17" s="13" t="s">
        <v>287</v>
      </c>
      <c r="J17" s="13" t="s">
        <v>288</v>
      </c>
      <c r="K17" s="14" t="s">
        <v>32</v>
      </c>
      <c r="L17" s="14">
        <v>7</v>
      </c>
      <c r="M17" s="14" t="s">
        <v>94</v>
      </c>
      <c r="N17" s="12">
        <f t="shared" si="0"/>
        <v>1</v>
      </c>
      <c r="O17" s="5">
        <f t="shared" si="1"/>
        <v>0</v>
      </c>
      <c r="P17" s="15">
        <v>2</v>
      </c>
      <c r="Q17" s="15">
        <v>5</v>
      </c>
      <c r="R17" s="15">
        <v>5</v>
      </c>
      <c r="S17" s="15">
        <v>5</v>
      </c>
      <c r="T17" s="15">
        <v>3</v>
      </c>
      <c r="U17" s="12" t="s">
        <v>289</v>
      </c>
    </row>
    <row r="18" spans="1:21" ht="127.5" customHeight="1" x14ac:dyDescent="0.25">
      <c r="A18" s="12">
        <v>1153</v>
      </c>
      <c r="B18" s="12">
        <v>2</v>
      </c>
      <c r="C18" s="12">
        <v>2</v>
      </c>
      <c r="D18" s="12" t="s">
        <v>21</v>
      </c>
      <c r="E18" s="2" t="s">
        <v>96</v>
      </c>
      <c r="F18" s="13" t="b">
        <f>FALSE()</f>
        <v>0</v>
      </c>
      <c r="G18" s="13">
        <v>7</v>
      </c>
      <c r="H18" s="13" t="s">
        <v>23</v>
      </c>
      <c r="I18" s="13" t="s">
        <v>290</v>
      </c>
      <c r="J18" s="13" t="s">
        <v>291</v>
      </c>
      <c r="K18" s="14" t="s">
        <v>23</v>
      </c>
      <c r="L18" s="14">
        <v>6</v>
      </c>
      <c r="M18" s="14" t="s">
        <v>99</v>
      </c>
      <c r="N18" s="12">
        <f t="shared" si="0"/>
        <v>1</v>
      </c>
      <c r="O18" s="5">
        <f t="shared" si="1"/>
        <v>0</v>
      </c>
      <c r="P18" s="15">
        <v>5</v>
      </c>
      <c r="Q18" s="15">
        <v>5</v>
      </c>
      <c r="R18" s="15">
        <v>5</v>
      </c>
      <c r="S18" s="15">
        <v>5</v>
      </c>
      <c r="T18" s="15">
        <v>3</v>
      </c>
      <c r="U18" s="12" t="s">
        <v>292</v>
      </c>
    </row>
    <row r="19" spans="1:21" ht="140.25" customHeight="1" x14ac:dyDescent="0.25">
      <c r="A19" s="12">
        <v>1153</v>
      </c>
      <c r="B19" s="12">
        <v>2</v>
      </c>
      <c r="C19" s="12">
        <v>3</v>
      </c>
      <c r="D19" s="12" t="s">
        <v>55</v>
      </c>
      <c r="E19" s="2" t="s">
        <v>100</v>
      </c>
      <c r="F19" s="13" t="b">
        <f>FALSE()</f>
        <v>0</v>
      </c>
      <c r="G19" s="13">
        <v>4</v>
      </c>
      <c r="H19" s="13" t="s">
        <v>32</v>
      </c>
      <c r="I19" s="13" t="s">
        <v>293</v>
      </c>
      <c r="J19" s="13" t="s">
        <v>294</v>
      </c>
      <c r="K19" s="14" t="s">
        <v>58</v>
      </c>
      <c r="L19" s="14"/>
      <c r="M19" s="14" t="s">
        <v>103</v>
      </c>
      <c r="N19" s="12">
        <f t="shared" si="0"/>
        <v>0</v>
      </c>
      <c r="O19" s="5" t="str">
        <f t="shared" si="1"/>
        <v/>
      </c>
      <c r="P19" s="15">
        <v>5</v>
      </c>
      <c r="Q19" s="15">
        <v>5</v>
      </c>
      <c r="R19" s="15">
        <v>3</v>
      </c>
      <c r="S19" s="15">
        <v>5</v>
      </c>
      <c r="T19" s="15">
        <v>3</v>
      </c>
      <c r="U19" s="12" t="s">
        <v>295</v>
      </c>
    </row>
    <row r="20" spans="1:21" ht="63.75" customHeight="1" x14ac:dyDescent="0.25">
      <c r="A20" s="12">
        <v>1153</v>
      </c>
      <c r="B20" s="12">
        <v>3</v>
      </c>
      <c r="C20" s="12">
        <v>1</v>
      </c>
      <c r="D20" s="12" t="s">
        <v>55</v>
      </c>
      <c r="E20" s="2" t="s">
        <v>104</v>
      </c>
      <c r="F20" s="13" t="b">
        <f>TRUE()</f>
        <v>1</v>
      </c>
      <c r="G20" s="13" t="s">
        <v>57</v>
      </c>
      <c r="H20" s="13" t="s">
        <v>58</v>
      </c>
      <c r="I20" s="13" t="s">
        <v>296</v>
      </c>
      <c r="J20" s="13" t="s">
        <v>297</v>
      </c>
      <c r="K20" s="14" t="s">
        <v>58</v>
      </c>
      <c r="L20" s="14"/>
      <c r="M20" s="14" t="s">
        <v>103</v>
      </c>
      <c r="N20" s="12">
        <f t="shared" si="0"/>
        <v>1</v>
      </c>
      <c r="O20" s="5" t="str">
        <f t="shared" si="1"/>
        <v/>
      </c>
      <c r="P20" s="15">
        <v>5</v>
      </c>
      <c r="Q20" s="15">
        <v>5</v>
      </c>
      <c r="R20" s="15">
        <v>4</v>
      </c>
      <c r="S20" s="15">
        <v>5</v>
      </c>
      <c r="T20" s="15">
        <v>4</v>
      </c>
      <c r="U20" s="12" t="s">
        <v>298</v>
      </c>
    </row>
    <row r="21" spans="1:21" ht="293.25" customHeight="1" x14ac:dyDescent="0.25">
      <c r="A21" s="12">
        <v>1828</v>
      </c>
      <c r="B21" s="12">
        <v>1</v>
      </c>
      <c r="C21" s="12">
        <v>1</v>
      </c>
      <c r="D21" s="12" t="s">
        <v>21</v>
      </c>
      <c r="E21" s="2" t="s">
        <v>107</v>
      </c>
      <c r="F21" s="13" t="b">
        <f>FALSE()</f>
        <v>0</v>
      </c>
      <c r="G21" s="13">
        <v>14</v>
      </c>
      <c r="H21" s="13" t="s">
        <v>23</v>
      </c>
      <c r="I21" s="13" t="s">
        <v>299</v>
      </c>
      <c r="J21" s="13" t="s">
        <v>300</v>
      </c>
      <c r="K21" s="14" t="s">
        <v>23</v>
      </c>
      <c r="L21" s="14">
        <v>16</v>
      </c>
      <c r="M21" s="14" t="s">
        <v>110</v>
      </c>
      <c r="N21" s="12">
        <f t="shared" si="0"/>
        <v>1</v>
      </c>
      <c r="O21" s="5">
        <f t="shared" si="1"/>
        <v>0</v>
      </c>
      <c r="P21" s="15">
        <v>2</v>
      </c>
      <c r="Q21" s="15">
        <v>5</v>
      </c>
      <c r="R21" s="15">
        <v>4</v>
      </c>
      <c r="S21" s="15">
        <v>5</v>
      </c>
      <c r="T21" s="16">
        <v>3</v>
      </c>
      <c r="U21" s="12" t="s">
        <v>301</v>
      </c>
    </row>
    <row r="22" spans="1:21" ht="293.25" customHeight="1" x14ac:dyDescent="0.25">
      <c r="A22" s="12">
        <v>1828</v>
      </c>
      <c r="B22" s="12">
        <v>1</v>
      </c>
      <c r="C22" s="12">
        <v>2</v>
      </c>
      <c r="D22" s="12" t="s">
        <v>111</v>
      </c>
      <c r="E22" s="2" t="s">
        <v>112</v>
      </c>
      <c r="F22" s="13" t="b">
        <f>FALSE()</f>
        <v>0</v>
      </c>
      <c r="G22" s="13">
        <v>9</v>
      </c>
      <c r="H22" s="13" t="s">
        <v>23</v>
      </c>
      <c r="I22" s="13" t="s">
        <v>302</v>
      </c>
      <c r="J22" s="13" t="s">
        <v>303</v>
      </c>
      <c r="K22" s="14" t="s">
        <v>32</v>
      </c>
      <c r="L22" s="14">
        <v>3</v>
      </c>
      <c r="M22" s="14" t="s">
        <v>115</v>
      </c>
      <c r="N22" s="12">
        <f t="shared" si="0"/>
        <v>0</v>
      </c>
      <c r="O22" s="5">
        <f t="shared" si="1"/>
        <v>0</v>
      </c>
      <c r="P22" s="15">
        <v>5</v>
      </c>
      <c r="Q22" s="15">
        <v>5</v>
      </c>
      <c r="R22" s="15">
        <v>3</v>
      </c>
      <c r="S22" s="15">
        <v>4</v>
      </c>
      <c r="T22" s="15">
        <v>3</v>
      </c>
      <c r="U22" s="12" t="s">
        <v>304</v>
      </c>
    </row>
    <row r="23" spans="1:21" ht="293.25" customHeight="1" x14ac:dyDescent="0.25">
      <c r="A23" s="12">
        <v>1828</v>
      </c>
      <c r="B23" s="12">
        <v>1</v>
      </c>
      <c r="C23" s="12">
        <v>3</v>
      </c>
      <c r="D23" s="12" t="s">
        <v>55</v>
      </c>
      <c r="E23" s="2" t="s">
        <v>116</v>
      </c>
      <c r="F23" s="13" t="b">
        <f>FALSE()</f>
        <v>0</v>
      </c>
      <c r="G23" s="13">
        <v>8</v>
      </c>
      <c r="H23" s="13" t="s">
        <v>23</v>
      </c>
      <c r="I23" s="13" t="s">
        <v>305</v>
      </c>
      <c r="J23" s="13" t="s">
        <v>306</v>
      </c>
      <c r="K23" s="14" t="s">
        <v>58</v>
      </c>
      <c r="L23" s="14"/>
      <c r="M23" s="14" t="s">
        <v>119</v>
      </c>
      <c r="N23" s="12">
        <f t="shared" si="0"/>
        <v>0</v>
      </c>
      <c r="O23" s="5" t="str">
        <f t="shared" si="1"/>
        <v/>
      </c>
      <c r="P23" s="15">
        <v>5</v>
      </c>
      <c r="Q23" s="15">
        <v>5</v>
      </c>
      <c r="R23" s="15">
        <v>3</v>
      </c>
      <c r="S23" s="15">
        <v>4</v>
      </c>
      <c r="T23" s="15">
        <v>3</v>
      </c>
      <c r="U23" s="12" t="s">
        <v>307</v>
      </c>
    </row>
    <row r="24" spans="1:21" ht="409.5" customHeight="1" x14ac:dyDescent="0.25">
      <c r="A24" s="12">
        <v>1828</v>
      </c>
      <c r="B24" s="12">
        <v>2</v>
      </c>
      <c r="C24" s="12">
        <v>1</v>
      </c>
      <c r="D24" s="12" t="s">
        <v>21</v>
      </c>
      <c r="E24" s="2" t="s">
        <v>120</v>
      </c>
      <c r="F24" s="13" t="b">
        <f>FALSE()</f>
        <v>0</v>
      </c>
      <c r="G24" s="13">
        <v>6</v>
      </c>
      <c r="H24" s="13" t="s">
        <v>23</v>
      </c>
      <c r="I24" s="13" t="s">
        <v>308</v>
      </c>
      <c r="J24" s="13" t="s">
        <v>309</v>
      </c>
      <c r="K24" s="14" t="s">
        <v>23</v>
      </c>
      <c r="L24" s="14">
        <v>7</v>
      </c>
      <c r="M24" s="14" t="s">
        <v>123</v>
      </c>
      <c r="N24" s="12">
        <f t="shared" si="0"/>
        <v>1</v>
      </c>
      <c r="O24" s="5">
        <f t="shared" si="1"/>
        <v>0</v>
      </c>
      <c r="P24" s="15">
        <v>3</v>
      </c>
      <c r="Q24" s="15">
        <v>5</v>
      </c>
      <c r="R24" s="15">
        <v>4</v>
      </c>
      <c r="S24" s="15">
        <v>5</v>
      </c>
      <c r="T24" s="15">
        <v>3</v>
      </c>
      <c r="U24" s="12" t="s">
        <v>310</v>
      </c>
    </row>
    <row r="25" spans="1:21" ht="409.5" customHeight="1" x14ac:dyDescent="0.25">
      <c r="A25" s="12">
        <v>1828</v>
      </c>
      <c r="B25" s="12">
        <v>2</v>
      </c>
      <c r="C25" s="12">
        <v>2</v>
      </c>
      <c r="D25" s="12" t="s">
        <v>30</v>
      </c>
      <c r="E25" s="2" t="s">
        <v>124</v>
      </c>
      <c r="F25" s="13" t="b">
        <f>FALSE()</f>
        <v>0</v>
      </c>
      <c r="G25" s="13">
        <v>6</v>
      </c>
      <c r="H25" s="13" t="s">
        <v>23</v>
      </c>
      <c r="I25" s="13" t="s">
        <v>311</v>
      </c>
      <c r="J25" s="13" t="s">
        <v>312</v>
      </c>
      <c r="K25" s="14" t="s">
        <v>32</v>
      </c>
      <c r="L25" s="14">
        <v>7</v>
      </c>
      <c r="M25" s="14" t="s">
        <v>127</v>
      </c>
      <c r="N25" s="12">
        <f t="shared" si="0"/>
        <v>0</v>
      </c>
      <c r="O25" s="5">
        <f t="shared" si="1"/>
        <v>0</v>
      </c>
      <c r="P25" s="15">
        <v>3</v>
      </c>
      <c r="Q25" s="15">
        <v>5</v>
      </c>
      <c r="R25" s="15">
        <v>4</v>
      </c>
      <c r="S25" s="15">
        <v>5</v>
      </c>
      <c r="T25" s="15">
        <v>3</v>
      </c>
      <c r="U25" s="12" t="s">
        <v>313</v>
      </c>
    </row>
    <row r="26" spans="1:21" ht="409.5" customHeight="1" x14ac:dyDescent="0.25">
      <c r="A26" s="12">
        <v>1828</v>
      </c>
      <c r="B26" s="12">
        <v>2</v>
      </c>
      <c r="C26" s="12">
        <v>3</v>
      </c>
      <c r="D26" s="12" t="s">
        <v>55</v>
      </c>
      <c r="E26" s="2" t="s">
        <v>128</v>
      </c>
      <c r="F26" s="13" t="b">
        <f>FALSE()</f>
        <v>0</v>
      </c>
      <c r="G26" s="13">
        <v>10</v>
      </c>
      <c r="H26" s="13" t="s">
        <v>32</v>
      </c>
      <c r="I26" s="13" t="s">
        <v>314</v>
      </c>
      <c r="J26" s="13" t="s">
        <v>315</v>
      </c>
      <c r="K26" s="14" t="s">
        <v>58</v>
      </c>
      <c r="L26" s="14"/>
      <c r="M26" s="14" t="s">
        <v>119</v>
      </c>
      <c r="N26" s="12">
        <f t="shared" si="0"/>
        <v>0</v>
      </c>
      <c r="O26" s="5" t="str">
        <f t="shared" si="1"/>
        <v/>
      </c>
      <c r="P26" s="15">
        <v>5</v>
      </c>
      <c r="Q26" s="15">
        <v>5</v>
      </c>
      <c r="R26" s="15">
        <v>3</v>
      </c>
      <c r="S26" s="15">
        <v>4</v>
      </c>
      <c r="T26" s="15">
        <v>3</v>
      </c>
      <c r="U26" s="12" t="s">
        <v>316</v>
      </c>
    </row>
    <row r="27" spans="1:21" ht="242.25" customHeight="1" x14ac:dyDescent="0.25">
      <c r="A27" s="12">
        <v>1828</v>
      </c>
      <c r="B27" s="12">
        <v>3</v>
      </c>
      <c r="C27" s="12">
        <v>1</v>
      </c>
      <c r="D27" s="12" t="s">
        <v>55</v>
      </c>
      <c r="E27" s="2" t="s">
        <v>131</v>
      </c>
      <c r="F27" s="13" t="b">
        <f>TRUE()</f>
        <v>1</v>
      </c>
      <c r="G27" s="13" t="s">
        <v>57</v>
      </c>
      <c r="H27" s="13" t="s">
        <v>58</v>
      </c>
      <c r="I27" s="13" t="s">
        <v>317</v>
      </c>
      <c r="J27" s="13" t="s">
        <v>318</v>
      </c>
      <c r="K27" s="14" t="s">
        <v>58</v>
      </c>
      <c r="L27" s="14"/>
      <c r="M27" s="14" t="s">
        <v>119</v>
      </c>
      <c r="N27" s="12">
        <f t="shared" si="0"/>
        <v>1</v>
      </c>
      <c r="O27" s="5" t="str">
        <f t="shared" si="1"/>
        <v/>
      </c>
      <c r="P27" s="15">
        <v>5</v>
      </c>
      <c r="Q27" s="15">
        <v>5</v>
      </c>
      <c r="R27" s="15">
        <v>4</v>
      </c>
      <c r="S27" s="15">
        <v>5</v>
      </c>
      <c r="T27" s="15">
        <v>5</v>
      </c>
      <c r="U27" s="12" t="s">
        <v>298</v>
      </c>
    </row>
    <row r="28" spans="1:21" ht="267.75" customHeight="1" x14ac:dyDescent="0.25">
      <c r="A28" s="12">
        <v>1873</v>
      </c>
      <c r="B28" s="12">
        <v>1</v>
      </c>
      <c r="C28" s="12">
        <v>1</v>
      </c>
      <c r="D28" s="12" t="s">
        <v>21</v>
      </c>
      <c r="E28" s="2" t="s">
        <v>134</v>
      </c>
      <c r="F28" s="13" t="b">
        <f>FALSE()</f>
        <v>0</v>
      </c>
      <c r="G28" s="13">
        <v>10</v>
      </c>
      <c r="H28" s="13" t="s">
        <v>23</v>
      </c>
      <c r="I28" s="13" t="s">
        <v>319</v>
      </c>
      <c r="J28" s="13" t="s">
        <v>320</v>
      </c>
      <c r="K28" s="14" t="s">
        <v>23</v>
      </c>
      <c r="L28" s="14">
        <v>13</v>
      </c>
      <c r="M28" s="14" t="s">
        <v>137</v>
      </c>
      <c r="N28" s="12">
        <f t="shared" si="0"/>
        <v>1</v>
      </c>
      <c r="O28" s="5">
        <f t="shared" si="1"/>
        <v>0</v>
      </c>
      <c r="P28" s="15">
        <v>4</v>
      </c>
      <c r="Q28" s="15">
        <v>4</v>
      </c>
      <c r="R28" s="15">
        <v>4</v>
      </c>
      <c r="S28" s="15">
        <v>4</v>
      </c>
      <c r="T28" s="15">
        <v>3</v>
      </c>
      <c r="U28" s="12" t="s">
        <v>321</v>
      </c>
    </row>
    <row r="29" spans="1:21" ht="267.75" customHeight="1" x14ac:dyDescent="0.25">
      <c r="A29" s="12">
        <v>1873</v>
      </c>
      <c r="B29" s="12">
        <v>1</v>
      </c>
      <c r="C29" s="12">
        <v>2</v>
      </c>
      <c r="D29" s="12" t="s">
        <v>138</v>
      </c>
      <c r="E29" s="2" t="s">
        <v>139</v>
      </c>
      <c r="F29" s="13" t="b">
        <f>FALSE()</f>
        <v>0</v>
      </c>
      <c r="G29" s="13">
        <v>10</v>
      </c>
      <c r="H29" s="13" t="s">
        <v>32</v>
      </c>
      <c r="I29" s="13" t="s">
        <v>322</v>
      </c>
      <c r="J29" s="13" t="s">
        <v>323</v>
      </c>
      <c r="K29" s="14" t="s">
        <v>32</v>
      </c>
      <c r="L29" s="14">
        <v>6</v>
      </c>
      <c r="M29" s="14" t="s">
        <v>142</v>
      </c>
      <c r="N29" s="12">
        <f t="shared" si="0"/>
        <v>1</v>
      </c>
      <c r="O29" s="5">
        <f t="shared" si="1"/>
        <v>0</v>
      </c>
      <c r="P29" s="15">
        <v>2</v>
      </c>
      <c r="Q29" s="15">
        <v>5</v>
      </c>
      <c r="R29" s="15">
        <v>5</v>
      </c>
      <c r="S29" s="15">
        <v>5</v>
      </c>
      <c r="T29" s="15">
        <v>3</v>
      </c>
      <c r="U29" s="12" t="s">
        <v>324</v>
      </c>
    </row>
    <row r="30" spans="1:21" ht="382.5" customHeight="1" x14ac:dyDescent="0.25">
      <c r="A30" s="12">
        <v>1873</v>
      </c>
      <c r="B30" s="12">
        <v>1</v>
      </c>
      <c r="C30" s="12">
        <v>3</v>
      </c>
      <c r="D30" s="12" t="s">
        <v>138</v>
      </c>
      <c r="E30" s="2" t="s">
        <v>144</v>
      </c>
      <c r="F30" s="13" t="b">
        <f>FALSE()</f>
        <v>0</v>
      </c>
      <c r="G30" s="13">
        <v>14</v>
      </c>
      <c r="H30" s="13" t="s">
        <v>23</v>
      </c>
      <c r="I30" s="13" t="s">
        <v>325</v>
      </c>
      <c r="J30" s="13" t="s">
        <v>326</v>
      </c>
      <c r="K30" s="14" t="s">
        <v>32</v>
      </c>
      <c r="L30" s="14">
        <v>20</v>
      </c>
      <c r="M30" s="14" t="s">
        <v>147</v>
      </c>
      <c r="N30" s="12">
        <f t="shared" si="0"/>
        <v>0</v>
      </c>
      <c r="O30" s="5">
        <f t="shared" si="1"/>
        <v>0</v>
      </c>
      <c r="P30" s="15">
        <v>5</v>
      </c>
      <c r="Q30" s="15">
        <v>5</v>
      </c>
      <c r="R30" s="15">
        <v>3</v>
      </c>
      <c r="S30" s="15">
        <v>4</v>
      </c>
      <c r="T30" s="15">
        <v>3</v>
      </c>
      <c r="U30" s="12" t="s">
        <v>327</v>
      </c>
    </row>
    <row r="31" spans="1:21" ht="382.5" customHeight="1" x14ac:dyDescent="0.25">
      <c r="A31" s="12">
        <v>1873</v>
      </c>
      <c r="B31" s="12">
        <v>1</v>
      </c>
      <c r="C31" s="12">
        <v>4</v>
      </c>
      <c r="D31" s="12" t="s">
        <v>138</v>
      </c>
      <c r="E31" s="2" t="s">
        <v>148</v>
      </c>
      <c r="F31" s="13" t="b">
        <f>FALSE()</f>
        <v>0</v>
      </c>
      <c r="G31" s="13">
        <v>15</v>
      </c>
      <c r="H31" s="13" t="s">
        <v>23</v>
      </c>
      <c r="I31" s="13" t="s">
        <v>328</v>
      </c>
      <c r="J31" s="13" t="s">
        <v>329</v>
      </c>
      <c r="K31" s="14" t="s">
        <v>32</v>
      </c>
      <c r="L31" s="14">
        <v>6</v>
      </c>
      <c r="M31" s="14" t="s">
        <v>151</v>
      </c>
      <c r="N31" s="12">
        <f t="shared" si="0"/>
        <v>0</v>
      </c>
      <c r="O31" s="5">
        <f t="shared" si="1"/>
        <v>0</v>
      </c>
      <c r="P31" s="15">
        <v>4</v>
      </c>
      <c r="Q31" s="15">
        <v>5</v>
      </c>
      <c r="R31" s="15">
        <v>3</v>
      </c>
      <c r="S31" s="15">
        <v>4</v>
      </c>
      <c r="T31" s="15">
        <v>3</v>
      </c>
      <c r="U31" s="12" t="s">
        <v>330</v>
      </c>
    </row>
    <row r="32" spans="1:21" ht="318.75" customHeight="1" x14ac:dyDescent="0.25">
      <c r="A32" s="12">
        <v>1873</v>
      </c>
      <c r="B32" s="12">
        <v>1</v>
      </c>
      <c r="C32" s="12">
        <v>5</v>
      </c>
      <c r="D32" s="12" t="s">
        <v>21</v>
      </c>
      <c r="E32" s="2" t="s">
        <v>152</v>
      </c>
      <c r="F32" s="13" t="b">
        <f>FALSE()</f>
        <v>0</v>
      </c>
      <c r="G32" s="13">
        <v>12</v>
      </c>
      <c r="H32" s="13" t="s">
        <v>23</v>
      </c>
      <c r="I32" s="13" t="s">
        <v>302</v>
      </c>
      <c r="J32" s="13" t="s">
        <v>331</v>
      </c>
      <c r="K32" s="14" t="s">
        <v>39</v>
      </c>
      <c r="L32" s="14">
        <v>6</v>
      </c>
      <c r="M32" s="14" t="s">
        <v>155</v>
      </c>
      <c r="N32" s="12">
        <f t="shared" si="0"/>
        <v>0</v>
      </c>
      <c r="O32" s="5">
        <f t="shared" si="1"/>
        <v>0</v>
      </c>
      <c r="P32" s="15">
        <v>2</v>
      </c>
      <c r="Q32" s="15">
        <v>5</v>
      </c>
      <c r="R32" s="15">
        <v>2</v>
      </c>
      <c r="S32" s="15">
        <v>4</v>
      </c>
      <c r="T32" s="15">
        <v>3</v>
      </c>
      <c r="U32" s="12" t="s">
        <v>332</v>
      </c>
    </row>
    <row r="33" spans="1:21" ht="306" customHeight="1" x14ac:dyDescent="0.25">
      <c r="A33" s="12">
        <v>1873</v>
      </c>
      <c r="B33" s="12">
        <v>1</v>
      </c>
      <c r="C33" s="12">
        <v>6</v>
      </c>
      <c r="D33" s="12" t="s">
        <v>21</v>
      </c>
      <c r="E33" s="2" t="s">
        <v>157</v>
      </c>
      <c r="F33" s="13" t="b">
        <f>FALSE()</f>
        <v>0</v>
      </c>
      <c r="G33" s="13">
        <v>8</v>
      </c>
      <c r="H33" s="13" t="s">
        <v>23</v>
      </c>
      <c r="I33" s="13" t="s">
        <v>333</v>
      </c>
      <c r="J33" s="13" t="s">
        <v>334</v>
      </c>
      <c r="K33" s="14" t="s">
        <v>23</v>
      </c>
      <c r="L33" s="14">
        <v>6</v>
      </c>
      <c r="M33" s="14" t="s">
        <v>160</v>
      </c>
      <c r="N33" s="12">
        <f t="shared" si="0"/>
        <v>1</v>
      </c>
      <c r="O33" s="5">
        <f t="shared" si="1"/>
        <v>0</v>
      </c>
      <c r="P33" s="15">
        <v>5</v>
      </c>
      <c r="Q33" s="15">
        <v>5</v>
      </c>
      <c r="R33" s="15">
        <v>5</v>
      </c>
      <c r="S33" s="15">
        <v>5</v>
      </c>
      <c r="T33" s="15">
        <v>3</v>
      </c>
      <c r="U33" s="12" t="s">
        <v>335</v>
      </c>
    </row>
    <row r="34" spans="1:21" ht="306" customHeight="1" x14ac:dyDescent="0.25">
      <c r="A34" s="12">
        <v>1873</v>
      </c>
      <c r="B34" s="12">
        <v>1</v>
      </c>
      <c r="C34" s="12">
        <v>7</v>
      </c>
      <c r="D34" s="12" t="s">
        <v>21</v>
      </c>
      <c r="E34" s="2" t="s">
        <v>161</v>
      </c>
      <c r="F34" s="13" t="b">
        <f>FALSE()</f>
        <v>0</v>
      </c>
      <c r="G34" s="13">
        <v>5</v>
      </c>
      <c r="H34" s="13" t="s">
        <v>23</v>
      </c>
      <c r="I34" s="13" t="s">
        <v>336</v>
      </c>
      <c r="J34" s="13" t="s">
        <v>337</v>
      </c>
      <c r="K34" s="14" t="s">
        <v>23</v>
      </c>
      <c r="L34" s="14">
        <v>6</v>
      </c>
      <c r="M34" s="14" t="s">
        <v>160</v>
      </c>
      <c r="N34" s="12">
        <f t="shared" ref="N34:N51" si="2">IF(AND(H34&lt;&gt;"",K34&lt;&gt;""),IF(H34=K34,1,0),"")</f>
        <v>1</v>
      </c>
      <c r="O34" s="5">
        <f t="shared" ref="O34:O51" si="3">IF(OR(K34="",K34="Nenhum (código correto)",L34=""),"",IF(G34="","",IF(G34=L34,1,0)))</f>
        <v>0</v>
      </c>
      <c r="P34" s="15">
        <v>4</v>
      </c>
      <c r="Q34" s="15">
        <v>5</v>
      </c>
      <c r="R34" s="15">
        <v>5</v>
      </c>
      <c r="S34" s="15">
        <v>5</v>
      </c>
      <c r="T34" s="15">
        <v>3</v>
      </c>
      <c r="U34" s="12" t="s">
        <v>338</v>
      </c>
    </row>
    <row r="35" spans="1:21" ht="306" customHeight="1" x14ac:dyDescent="0.25">
      <c r="A35" s="12">
        <v>1873</v>
      </c>
      <c r="B35" s="12">
        <v>1</v>
      </c>
      <c r="C35" s="12">
        <v>8</v>
      </c>
      <c r="D35" s="12" t="s">
        <v>55</v>
      </c>
      <c r="E35" s="2" t="s">
        <v>164</v>
      </c>
      <c r="F35" s="13" t="b">
        <f>FALSE()</f>
        <v>0</v>
      </c>
      <c r="G35" s="13">
        <v>10</v>
      </c>
      <c r="H35" s="13" t="s">
        <v>32</v>
      </c>
      <c r="I35" s="13" t="s">
        <v>339</v>
      </c>
      <c r="J35" s="13" t="s">
        <v>340</v>
      </c>
      <c r="K35" s="14" t="s">
        <v>58</v>
      </c>
      <c r="L35" s="14"/>
      <c r="M35" s="14" t="s">
        <v>119</v>
      </c>
      <c r="N35" s="12">
        <f t="shared" si="2"/>
        <v>0</v>
      </c>
      <c r="O35" s="5" t="str">
        <f t="shared" si="3"/>
        <v/>
      </c>
      <c r="P35" s="15">
        <v>5</v>
      </c>
      <c r="Q35" s="15">
        <v>5</v>
      </c>
      <c r="R35" s="15">
        <v>3</v>
      </c>
      <c r="S35" s="15">
        <v>4</v>
      </c>
      <c r="T35" s="15">
        <v>3</v>
      </c>
      <c r="U35" s="12" t="s">
        <v>316</v>
      </c>
    </row>
    <row r="36" spans="1:21" ht="318.75" customHeight="1" x14ac:dyDescent="0.25">
      <c r="A36" s="12">
        <v>1873</v>
      </c>
      <c r="B36" s="12">
        <v>2</v>
      </c>
      <c r="C36" s="12">
        <v>1</v>
      </c>
      <c r="D36" s="12" t="s">
        <v>21</v>
      </c>
      <c r="E36" s="2" t="s">
        <v>168</v>
      </c>
      <c r="F36" s="13" t="b">
        <f>FALSE()</f>
        <v>0</v>
      </c>
      <c r="G36" s="13">
        <v>10</v>
      </c>
      <c r="H36" s="13" t="s">
        <v>23</v>
      </c>
      <c r="I36" s="13" t="s">
        <v>341</v>
      </c>
      <c r="J36" s="13" t="s">
        <v>342</v>
      </c>
      <c r="K36" s="14" t="s">
        <v>23</v>
      </c>
      <c r="L36" s="14">
        <v>11</v>
      </c>
      <c r="M36" s="14" t="s">
        <v>171</v>
      </c>
      <c r="N36" s="12">
        <f t="shared" si="2"/>
        <v>1</v>
      </c>
      <c r="O36" s="5">
        <f t="shared" si="3"/>
        <v>0</v>
      </c>
      <c r="P36" s="15">
        <v>4</v>
      </c>
      <c r="Q36" s="15">
        <v>5</v>
      </c>
      <c r="R36" s="15">
        <v>4</v>
      </c>
      <c r="S36" s="15">
        <v>5</v>
      </c>
      <c r="T36" s="15">
        <v>3</v>
      </c>
      <c r="U36" s="12" t="s">
        <v>343</v>
      </c>
    </row>
    <row r="37" spans="1:21" ht="318.75" customHeight="1" x14ac:dyDescent="0.25">
      <c r="A37" s="12">
        <v>1873</v>
      </c>
      <c r="B37" s="12">
        <v>2</v>
      </c>
      <c r="C37" s="12">
        <v>2</v>
      </c>
      <c r="D37" s="12" t="s">
        <v>21</v>
      </c>
      <c r="E37" s="2" t="s">
        <v>172</v>
      </c>
      <c r="F37" s="13" t="b">
        <f>FALSE()</f>
        <v>0</v>
      </c>
      <c r="G37" s="13">
        <v>15</v>
      </c>
      <c r="H37" s="13" t="s">
        <v>23</v>
      </c>
      <c r="I37" s="13" t="s">
        <v>344</v>
      </c>
      <c r="J37" s="13" t="s">
        <v>345</v>
      </c>
      <c r="K37" s="14" t="s">
        <v>39</v>
      </c>
      <c r="L37" s="14">
        <v>24</v>
      </c>
      <c r="M37" s="14" t="s">
        <v>175</v>
      </c>
      <c r="N37" s="12">
        <f t="shared" si="2"/>
        <v>0</v>
      </c>
      <c r="O37" s="5">
        <f t="shared" si="3"/>
        <v>0</v>
      </c>
      <c r="P37" s="15">
        <v>3</v>
      </c>
      <c r="Q37" s="15">
        <v>5</v>
      </c>
      <c r="R37" s="15">
        <v>4</v>
      </c>
      <c r="S37" s="15">
        <v>5</v>
      </c>
      <c r="T37" s="15">
        <v>3</v>
      </c>
      <c r="U37" s="12" t="s">
        <v>346</v>
      </c>
    </row>
    <row r="38" spans="1:21" ht="318.75" customHeight="1" x14ac:dyDescent="0.25">
      <c r="A38" s="12">
        <v>1873</v>
      </c>
      <c r="B38" s="12">
        <v>2</v>
      </c>
      <c r="C38" s="12">
        <v>3</v>
      </c>
      <c r="D38" s="12" t="s">
        <v>176</v>
      </c>
      <c r="E38" s="2" t="s">
        <v>177</v>
      </c>
      <c r="F38" s="13" t="b">
        <f>FALSE()</f>
        <v>0</v>
      </c>
      <c r="G38" s="13">
        <v>14</v>
      </c>
      <c r="H38" s="13" t="s">
        <v>32</v>
      </c>
      <c r="I38" s="13" t="s">
        <v>347</v>
      </c>
      <c r="J38" s="13" t="s">
        <v>348</v>
      </c>
      <c r="K38" s="14" t="s">
        <v>39</v>
      </c>
      <c r="L38" s="14">
        <v>14</v>
      </c>
      <c r="M38" s="14" t="s">
        <v>180</v>
      </c>
      <c r="N38" s="12">
        <f t="shared" si="2"/>
        <v>0</v>
      </c>
      <c r="O38" s="5">
        <f t="shared" si="3"/>
        <v>1</v>
      </c>
      <c r="P38" s="15">
        <v>4</v>
      </c>
      <c r="Q38" s="15">
        <v>5</v>
      </c>
      <c r="R38" s="15">
        <v>4</v>
      </c>
      <c r="S38" s="15">
        <v>5</v>
      </c>
      <c r="T38" s="15">
        <v>3</v>
      </c>
      <c r="U38" s="12" t="s">
        <v>349</v>
      </c>
    </row>
    <row r="39" spans="1:21" ht="318.75" customHeight="1" x14ac:dyDescent="0.25">
      <c r="A39" s="12">
        <v>1873</v>
      </c>
      <c r="B39" s="12">
        <v>2</v>
      </c>
      <c r="C39" s="12">
        <v>4</v>
      </c>
      <c r="D39" s="12" t="s">
        <v>176</v>
      </c>
      <c r="E39" s="2" t="s">
        <v>181</v>
      </c>
      <c r="F39" s="13" t="b">
        <f>FALSE()</f>
        <v>0</v>
      </c>
      <c r="G39" s="13">
        <v>13</v>
      </c>
      <c r="H39" s="13" t="s">
        <v>32</v>
      </c>
      <c r="I39" s="13" t="s">
        <v>350</v>
      </c>
      <c r="J39" s="13" t="s">
        <v>351</v>
      </c>
      <c r="K39" s="14" t="s">
        <v>39</v>
      </c>
      <c r="L39" s="14">
        <v>14</v>
      </c>
      <c r="M39" s="14" t="s">
        <v>184</v>
      </c>
      <c r="N39" s="12">
        <f t="shared" si="2"/>
        <v>0</v>
      </c>
      <c r="O39" s="5">
        <f t="shared" si="3"/>
        <v>0</v>
      </c>
      <c r="P39" s="15">
        <v>4</v>
      </c>
      <c r="Q39" s="15">
        <v>5</v>
      </c>
      <c r="R39" s="15">
        <v>4</v>
      </c>
      <c r="S39" s="15">
        <v>5</v>
      </c>
      <c r="T39" s="15">
        <v>3</v>
      </c>
      <c r="U39" s="12" t="s">
        <v>352</v>
      </c>
    </row>
    <row r="40" spans="1:21" ht="318.75" customHeight="1" x14ac:dyDescent="0.25">
      <c r="A40" s="12">
        <v>1873</v>
      </c>
      <c r="B40" s="12">
        <v>2</v>
      </c>
      <c r="C40" s="12">
        <v>5</v>
      </c>
      <c r="D40" s="12" t="s">
        <v>176</v>
      </c>
      <c r="E40" s="2" t="s">
        <v>177</v>
      </c>
      <c r="F40" s="13" t="b">
        <f>FALSE()</f>
        <v>0</v>
      </c>
      <c r="G40" s="13">
        <v>10</v>
      </c>
      <c r="H40" s="13" t="s">
        <v>32</v>
      </c>
      <c r="I40" s="13" t="s">
        <v>353</v>
      </c>
      <c r="J40" s="13" t="s">
        <v>354</v>
      </c>
      <c r="K40" s="14" t="s">
        <v>39</v>
      </c>
      <c r="L40" s="14">
        <v>14</v>
      </c>
      <c r="M40" s="14" t="s">
        <v>184</v>
      </c>
      <c r="N40" s="12">
        <f t="shared" si="2"/>
        <v>0</v>
      </c>
      <c r="O40" s="5">
        <f t="shared" si="3"/>
        <v>0</v>
      </c>
      <c r="P40" s="15">
        <v>2</v>
      </c>
      <c r="Q40" s="15">
        <v>5</v>
      </c>
      <c r="R40" s="15">
        <v>4</v>
      </c>
      <c r="S40" s="15">
        <v>5</v>
      </c>
      <c r="T40" s="15">
        <v>3</v>
      </c>
      <c r="U40" s="12" t="s">
        <v>355</v>
      </c>
    </row>
    <row r="41" spans="1:21" ht="318.75" customHeight="1" x14ac:dyDescent="0.25">
      <c r="A41" s="12">
        <v>1873</v>
      </c>
      <c r="B41" s="12">
        <v>2</v>
      </c>
      <c r="C41" s="12">
        <v>6</v>
      </c>
      <c r="D41" s="12" t="s">
        <v>176</v>
      </c>
      <c r="E41" s="2" t="s">
        <v>181</v>
      </c>
      <c r="F41" s="13" t="b">
        <f>FALSE()</f>
        <v>0</v>
      </c>
      <c r="G41" s="13">
        <v>14</v>
      </c>
      <c r="H41" s="13" t="s">
        <v>32</v>
      </c>
      <c r="I41" s="13" t="s">
        <v>356</v>
      </c>
      <c r="J41" s="13" t="s">
        <v>357</v>
      </c>
      <c r="K41" s="14" t="s">
        <v>39</v>
      </c>
      <c r="L41" s="14">
        <v>14</v>
      </c>
      <c r="M41" s="14" t="s">
        <v>184</v>
      </c>
      <c r="N41" s="12">
        <f t="shared" si="2"/>
        <v>0</v>
      </c>
      <c r="O41" s="5">
        <f t="shared" si="3"/>
        <v>1</v>
      </c>
      <c r="P41" s="15">
        <v>4</v>
      </c>
      <c r="Q41" s="15">
        <v>5</v>
      </c>
      <c r="R41" s="15">
        <v>4</v>
      </c>
      <c r="S41" s="15">
        <v>5</v>
      </c>
      <c r="T41" s="15">
        <v>3</v>
      </c>
      <c r="U41" s="12" t="s">
        <v>352</v>
      </c>
    </row>
    <row r="42" spans="1:21" ht="318.75" customHeight="1" x14ac:dyDescent="0.25">
      <c r="A42" s="12">
        <v>1873</v>
      </c>
      <c r="B42" s="12">
        <v>2</v>
      </c>
      <c r="C42" s="12">
        <v>7</v>
      </c>
      <c r="D42" s="12" t="s">
        <v>176</v>
      </c>
      <c r="E42" s="2" t="s">
        <v>177</v>
      </c>
      <c r="F42" s="13" t="b">
        <f>FALSE()</f>
        <v>0</v>
      </c>
      <c r="G42" s="13">
        <v>14</v>
      </c>
      <c r="H42" s="13" t="s">
        <v>32</v>
      </c>
      <c r="I42" s="13" t="s">
        <v>358</v>
      </c>
      <c r="J42" s="13" t="s">
        <v>359</v>
      </c>
      <c r="K42" s="14" t="s">
        <v>39</v>
      </c>
      <c r="L42" s="14">
        <v>14</v>
      </c>
      <c r="M42" s="14" t="s">
        <v>184</v>
      </c>
      <c r="N42" s="12">
        <f t="shared" si="2"/>
        <v>0</v>
      </c>
      <c r="O42" s="5">
        <f t="shared" si="3"/>
        <v>1</v>
      </c>
      <c r="P42" s="15">
        <v>4</v>
      </c>
      <c r="Q42" s="15">
        <v>5</v>
      </c>
      <c r="R42" s="15">
        <v>4</v>
      </c>
      <c r="S42" s="15">
        <v>5</v>
      </c>
      <c r="T42" s="15">
        <v>3</v>
      </c>
      <c r="U42" s="12" t="s">
        <v>352</v>
      </c>
    </row>
    <row r="43" spans="1:21" ht="318.75" customHeight="1" x14ac:dyDescent="0.25">
      <c r="A43" s="12">
        <v>1873</v>
      </c>
      <c r="B43" s="12">
        <v>2</v>
      </c>
      <c r="C43" s="12">
        <v>8</v>
      </c>
      <c r="D43" s="12" t="s">
        <v>55</v>
      </c>
      <c r="E43" s="2" t="s">
        <v>193</v>
      </c>
      <c r="F43" s="13" t="b">
        <f>FALSE()</f>
        <v>0</v>
      </c>
      <c r="G43" s="13">
        <v>10</v>
      </c>
      <c r="H43" s="13" t="s">
        <v>23</v>
      </c>
      <c r="I43" s="13" t="s">
        <v>360</v>
      </c>
      <c r="J43" s="13" t="s">
        <v>361</v>
      </c>
      <c r="K43" s="14" t="s">
        <v>39</v>
      </c>
      <c r="L43" s="14">
        <v>14</v>
      </c>
      <c r="M43" s="14" t="s">
        <v>196</v>
      </c>
      <c r="N43" s="12">
        <f t="shared" si="2"/>
        <v>0</v>
      </c>
      <c r="O43" s="5">
        <f t="shared" si="3"/>
        <v>0</v>
      </c>
      <c r="P43" s="15">
        <v>3</v>
      </c>
      <c r="Q43" s="15">
        <v>5</v>
      </c>
      <c r="R43" s="15">
        <v>4</v>
      </c>
      <c r="S43" s="15">
        <v>5</v>
      </c>
      <c r="T43" s="15">
        <v>3</v>
      </c>
      <c r="U43" s="12" t="s">
        <v>362</v>
      </c>
    </row>
    <row r="44" spans="1:21" ht="242.25" customHeight="1" x14ac:dyDescent="0.25">
      <c r="A44" s="12">
        <v>1873</v>
      </c>
      <c r="B44" s="12">
        <v>3</v>
      </c>
      <c r="C44" s="12">
        <v>1</v>
      </c>
      <c r="D44" s="12" t="s">
        <v>55</v>
      </c>
      <c r="E44" s="2" t="s">
        <v>198</v>
      </c>
      <c r="F44" s="13" t="b">
        <f>FALSE()</f>
        <v>0</v>
      </c>
      <c r="G44" s="13">
        <v>10</v>
      </c>
      <c r="H44" s="13" t="s">
        <v>32</v>
      </c>
      <c r="I44" s="13" t="s">
        <v>363</v>
      </c>
      <c r="J44" s="13" t="s">
        <v>364</v>
      </c>
      <c r="K44" s="14" t="s">
        <v>58</v>
      </c>
      <c r="L44" s="14"/>
      <c r="M44" s="14" t="s">
        <v>119</v>
      </c>
      <c r="N44" s="12">
        <f t="shared" si="2"/>
        <v>0</v>
      </c>
      <c r="O44" s="5" t="str">
        <f t="shared" si="3"/>
        <v/>
      </c>
      <c r="P44" s="15">
        <v>5</v>
      </c>
      <c r="Q44" s="15">
        <v>5</v>
      </c>
      <c r="R44" s="15">
        <v>3</v>
      </c>
      <c r="S44" s="15">
        <v>4</v>
      </c>
      <c r="T44" s="15">
        <v>4</v>
      </c>
      <c r="U44" s="12" t="s">
        <v>316</v>
      </c>
    </row>
    <row r="45" spans="1:21" ht="153" customHeight="1" x14ac:dyDescent="0.25">
      <c r="A45" s="12">
        <v>1132</v>
      </c>
      <c r="B45" s="12">
        <v>901</v>
      </c>
      <c r="C45" s="12">
        <v>1</v>
      </c>
      <c r="D45" s="12" t="s">
        <v>30</v>
      </c>
      <c r="E45" s="2" t="s">
        <v>201</v>
      </c>
      <c r="F45" s="13" t="b">
        <f>FALSE()</f>
        <v>0</v>
      </c>
      <c r="G45" s="13">
        <v>7</v>
      </c>
      <c r="H45" s="13" t="s">
        <v>32</v>
      </c>
      <c r="I45" s="13" t="s">
        <v>365</v>
      </c>
      <c r="J45" s="13" t="s">
        <v>366</v>
      </c>
      <c r="K45" s="14" t="s">
        <v>32</v>
      </c>
      <c r="L45" s="14">
        <v>9</v>
      </c>
      <c r="M45" s="14" t="s">
        <v>204</v>
      </c>
      <c r="N45" s="12">
        <f t="shared" si="2"/>
        <v>1</v>
      </c>
      <c r="O45" s="5">
        <f t="shared" si="3"/>
        <v>0</v>
      </c>
      <c r="P45" s="15">
        <v>1</v>
      </c>
      <c r="Q45" s="15">
        <v>5</v>
      </c>
      <c r="R45" s="15">
        <v>4</v>
      </c>
      <c r="S45" s="15">
        <v>5</v>
      </c>
      <c r="T45" s="15">
        <v>3</v>
      </c>
      <c r="U45" s="12" t="s">
        <v>367</v>
      </c>
    </row>
    <row r="46" spans="1:21" ht="153" customHeight="1" x14ac:dyDescent="0.25">
      <c r="A46" s="12">
        <v>1132</v>
      </c>
      <c r="B46" s="12">
        <v>902</v>
      </c>
      <c r="C46" s="12">
        <v>1</v>
      </c>
      <c r="D46" s="12" t="s">
        <v>206</v>
      </c>
      <c r="E46" s="2" t="s">
        <v>207</v>
      </c>
      <c r="F46" s="13" t="b">
        <f>FALSE()</f>
        <v>0</v>
      </c>
      <c r="G46" s="13">
        <v>5</v>
      </c>
      <c r="H46" s="13" t="s">
        <v>23</v>
      </c>
      <c r="I46" s="13" t="s">
        <v>368</v>
      </c>
      <c r="J46" s="13" t="s">
        <v>369</v>
      </c>
      <c r="K46" s="14" t="s">
        <v>23</v>
      </c>
      <c r="L46" s="14">
        <v>4</v>
      </c>
      <c r="M46" s="14" t="s">
        <v>210</v>
      </c>
      <c r="N46" s="12">
        <f t="shared" si="2"/>
        <v>1</v>
      </c>
      <c r="O46" s="5">
        <f t="shared" si="3"/>
        <v>0</v>
      </c>
      <c r="P46" s="15">
        <v>1</v>
      </c>
      <c r="Q46" s="15">
        <v>5</v>
      </c>
      <c r="R46" s="15">
        <v>3</v>
      </c>
      <c r="S46" s="15">
        <v>5</v>
      </c>
      <c r="T46" s="15">
        <v>3</v>
      </c>
      <c r="U46" s="12" t="s">
        <v>370</v>
      </c>
    </row>
    <row r="47" spans="1:21" ht="89.25" customHeight="1" x14ac:dyDescent="0.25">
      <c r="A47" s="12">
        <v>1153</v>
      </c>
      <c r="B47" s="12">
        <v>903</v>
      </c>
      <c r="C47" s="12">
        <v>1</v>
      </c>
      <c r="D47" s="12" t="s">
        <v>30</v>
      </c>
      <c r="E47" s="2" t="s">
        <v>212</v>
      </c>
      <c r="F47" s="13" t="b">
        <f>FALSE()</f>
        <v>0</v>
      </c>
      <c r="G47" s="13">
        <v>3</v>
      </c>
      <c r="H47" s="13" t="s">
        <v>32</v>
      </c>
      <c r="I47" s="13" t="s">
        <v>371</v>
      </c>
      <c r="J47" s="13" t="s">
        <v>372</v>
      </c>
      <c r="K47" s="14" t="s">
        <v>32</v>
      </c>
      <c r="L47" s="14">
        <v>2</v>
      </c>
      <c r="M47" s="14" t="s">
        <v>215</v>
      </c>
      <c r="N47" s="12">
        <f t="shared" si="2"/>
        <v>1</v>
      </c>
      <c r="O47" s="5">
        <f t="shared" si="3"/>
        <v>0</v>
      </c>
      <c r="P47" s="15">
        <v>2</v>
      </c>
      <c r="Q47" s="15">
        <v>5</v>
      </c>
      <c r="R47" s="15">
        <v>5</v>
      </c>
      <c r="S47" s="15">
        <v>5</v>
      </c>
      <c r="T47" s="15">
        <v>3</v>
      </c>
      <c r="U47" s="12" t="s">
        <v>373</v>
      </c>
    </row>
    <row r="48" spans="1:21" ht="89.25" customHeight="1" x14ac:dyDescent="0.25">
      <c r="A48" s="12">
        <v>1153</v>
      </c>
      <c r="B48" s="12">
        <v>904</v>
      </c>
      <c r="C48" s="12">
        <v>1</v>
      </c>
      <c r="D48" s="12" t="s">
        <v>30</v>
      </c>
      <c r="E48" s="2" t="s">
        <v>217</v>
      </c>
      <c r="F48" s="13" t="b">
        <f>FALSE()</f>
        <v>0</v>
      </c>
      <c r="G48" s="13">
        <v>3</v>
      </c>
      <c r="H48" s="13" t="s">
        <v>32</v>
      </c>
      <c r="I48" s="13" t="s">
        <v>374</v>
      </c>
      <c r="J48" s="13" t="s">
        <v>375</v>
      </c>
      <c r="K48" s="14" t="s">
        <v>32</v>
      </c>
      <c r="L48" s="14">
        <v>4</v>
      </c>
      <c r="M48" s="14" t="s">
        <v>220</v>
      </c>
      <c r="N48" s="12">
        <f t="shared" si="2"/>
        <v>1</v>
      </c>
      <c r="O48" s="5">
        <f t="shared" si="3"/>
        <v>0</v>
      </c>
      <c r="P48" s="15">
        <v>4</v>
      </c>
      <c r="Q48" s="15">
        <v>5</v>
      </c>
      <c r="R48" s="15">
        <v>5</v>
      </c>
      <c r="S48" s="15">
        <v>5</v>
      </c>
      <c r="T48" s="15">
        <v>4</v>
      </c>
      <c r="U48" s="12" t="s">
        <v>376</v>
      </c>
    </row>
    <row r="49" spans="1:21" ht="255" customHeight="1" x14ac:dyDescent="0.25">
      <c r="A49" s="12">
        <v>1828</v>
      </c>
      <c r="B49" s="12">
        <v>905</v>
      </c>
      <c r="C49" s="12">
        <v>1</v>
      </c>
      <c r="D49" s="12" t="s">
        <v>222</v>
      </c>
      <c r="E49" s="2" t="s">
        <v>223</v>
      </c>
      <c r="F49" s="13" t="b">
        <f>FALSE()</f>
        <v>0</v>
      </c>
      <c r="G49" s="13">
        <v>10</v>
      </c>
      <c r="H49" s="13" t="s">
        <v>32</v>
      </c>
      <c r="I49" s="13" t="s">
        <v>377</v>
      </c>
      <c r="J49" s="13" t="s">
        <v>378</v>
      </c>
      <c r="K49" s="14" t="s">
        <v>32</v>
      </c>
      <c r="L49" s="14">
        <v>7</v>
      </c>
      <c r="M49" s="14" t="s">
        <v>226</v>
      </c>
      <c r="N49" s="12">
        <f t="shared" si="2"/>
        <v>1</v>
      </c>
      <c r="O49" s="5">
        <f t="shared" si="3"/>
        <v>0</v>
      </c>
      <c r="P49" s="15">
        <v>4</v>
      </c>
      <c r="Q49" s="15">
        <v>5</v>
      </c>
      <c r="R49" s="15">
        <v>4</v>
      </c>
      <c r="S49" s="15">
        <v>5</v>
      </c>
      <c r="T49" s="15">
        <v>3</v>
      </c>
      <c r="U49" s="12" t="s">
        <v>338</v>
      </c>
    </row>
    <row r="50" spans="1:21" ht="242.25" customHeight="1" x14ac:dyDescent="0.25">
      <c r="A50" s="12">
        <v>1828</v>
      </c>
      <c r="B50" s="12">
        <v>906</v>
      </c>
      <c r="C50" s="12">
        <v>1</v>
      </c>
      <c r="D50" s="12" t="s">
        <v>21</v>
      </c>
      <c r="E50" s="2" t="s">
        <v>228</v>
      </c>
      <c r="F50" s="13" t="b">
        <f>FALSE()</f>
        <v>0</v>
      </c>
      <c r="G50" s="13">
        <v>4</v>
      </c>
      <c r="H50" s="13" t="s">
        <v>23</v>
      </c>
      <c r="I50" s="13" t="s">
        <v>379</v>
      </c>
      <c r="J50" s="13" t="s">
        <v>380</v>
      </c>
      <c r="K50" s="14" t="s">
        <v>39</v>
      </c>
      <c r="L50" s="14">
        <v>6</v>
      </c>
      <c r="M50" s="14" t="s">
        <v>231</v>
      </c>
      <c r="N50" s="12">
        <f t="shared" si="2"/>
        <v>0</v>
      </c>
      <c r="O50" s="5">
        <f t="shared" si="3"/>
        <v>0</v>
      </c>
      <c r="P50" s="15">
        <v>3</v>
      </c>
      <c r="Q50" s="15">
        <v>5</v>
      </c>
      <c r="R50" s="15">
        <v>4</v>
      </c>
      <c r="S50" s="15">
        <v>5</v>
      </c>
      <c r="T50" s="15">
        <v>3</v>
      </c>
      <c r="U50" s="12" t="s">
        <v>381</v>
      </c>
    </row>
    <row r="51" spans="1:21" ht="255" customHeight="1" x14ac:dyDescent="0.25">
      <c r="A51" s="12">
        <v>1873</v>
      </c>
      <c r="B51" s="12">
        <v>907</v>
      </c>
      <c r="C51" s="12">
        <v>1</v>
      </c>
      <c r="D51" s="12" t="s">
        <v>233</v>
      </c>
      <c r="E51" s="2" t="s">
        <v>234</v>
      </c>
      <c r="F51" s="13" t="b">
        <f>FALSE()</f>
        <v>0</v>
      </c>
      <c r="G51" s="13">
        <v>10</v>
      </c>
      <c r="H51" s="13" t="s">
        <v>32</v>
      </c>
      <c r="I51" s="13" t="s">
        <v>382</v>
      </c>
      <c r="J51" s="13" t="s">
        <v>383</v>
      </c>
      <c r="K51" s="14" t="s">
        <v>32</v>
      </c>
      <c r="L51" s="14">
        <v>19</v>
      </c>
      <c r="M51" s="14" t="s">
        <v>237</v>
      </c>
      <c r="N51" s="12">
        <f t="shared" si="2"/>
        <v>1</v>
      </c>
      <c r="O51" s="5">
        <f t="shared" si="3"/>
        <v>0</v>
      </c>
      <c r="P51" s="15">
        <v>4</v>
      </c>
      <c r="Q51" s="15">
        <v>5</v>
      </c>
      <c r="R51" s="15">
        <v>4</v>
      </c>
      <c r="S51" s="15">
        <v>5</v>
      </c>
      <c r="T51" s="15">
        <v>3</v>
      </c>
      <c r="U51" s="12" t="s">
        <v>338</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51"/>
  <sheetViews>
    <sheetView tabSelected="1" topLeftCell="I1" zoomScaleNormal="100" workbookViewId="0">
      <pane ySplit="1" topLeftCell="A43" activePane="bottomLeft" state="frozen"/>
      <selection pane="bottomLeft" activeCell="E44" sqref="E44"/>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384</v>
      </c>
      <c r="G1" s="1" t="s">
        <v>385</v>
      </c>
      <c r="H1" s="1" t="s">
        <v>386</v>
      </c>
      <c r="I1" s="1" t="s">
        <v>387</v>
      </c>
      <c r="J1" s="1" t="s">
        <v>388</v>
      </c>
      <c r="K1" s="1" t="s">
        <v>10</v>
      </c>
      <c r="L1" s="1" t="s">
        <v>11</v>
      </c>
      <c r="M1" s="1" t="s">
        <v>12</v>
      </c>
      <c r="N1" s="1" t="s">
        <v>13</v>
      </c>
      <c r="O1" s="1" t="s">
        <v>14</v>
      </c>
      <c r="P1" s="1" t="s">
        <v>15</v>
      </c>
      <c r="Q1" s="1" t="s">
        <v>16</v>
      </c>
      <c r="R1" s="1" t="s">
        <v>17</v>
      </c>
      <c r="S1" s="1" t="s">
        <v>18</v>
      </c>
      <c r="T1" s="1" t="s">
        <v>19</v>
      </c>
      <c r="U1" s="1" t="s">
        <v>20</v>
      </c>
    </row>
    <row r="2" spans="1:21" ht="102" customHeight="1" x14ac:dyDescent="0.25">
      <c r="A2" s="12">
        <v>1132</v>
      </c>
      <c r="B2" s="12">
        <v>1</v>
      </c>
      <c r="C2" s="12">
        <v>1</v>
      </c>
      <c r="D2" s="12" t="s">
        <v>21</v>
      </c>
      <c r="E2" s="2" t="s">
        <v>22</v>
      </c>
      <c r="F2" s="13" t="b">
        <f>FALSE()</f>
        <v>0</v>
      </c>
      <c r="G2" s="13">
        <v>3</v>
      </c>
      <c r="H2" s="13" t="s">
        <v>23</v>
      </c>
      <c r="I2" s="13" t="s">
        <v>389</v>
      </c>
      <c r="J2" s="13" t="s">
        <v>390</v>
      </c>
      <c r="K2" s="14" t="s">
        <v>23</v>
      </c>
      <c r="L2" s="14">
        <v>6</v>
      </c>
      <c r="M2" s="14" t="s">
        <v>26</v>
      </c>
      <c r="N2" s="12">
        <f t="shared" ref="N2:N33" si="0">IF(AND(H2&lt;&gt;"",K2&lt;&gt;""),IF(H2=K2,1,0),"")</f>
        <v>1</v>
      </c>
      <c r="O2" s="5">
        <f t="shared" ref="O2:O33" si="1">IF(OR(K2="",K2="Nenhum (código correto)",L2=""),"",IF(G2="","",IF(G2=L2,1,0)))</f>
        <v>0</v>
      </c>
      <c r="P2" s="15">
        <v>1</v>
      </c>
      <c r="Q2" s="15">
        <v>2</v>
      </c>
      <c r="R2" s="15">
        <v>1</v>
      </c>
      <c r="S2" s="15">
        <v>3</v>
      </c>
      <c r="T2" s="15">
        <v>3</v>
      </c>
      <c r="U2" s="12" t="s">
        <v>391</v>
      </c>
    </row>
    <row r="3" spans="1:21" ht="102" customHeight="1" x14ac:dyDescent="0.25">
      <c r="A3" s="12">
        <v>1132</v>
      </c>
      <c r="B3" s="12">
        <v>1</v>
      </c>
      <c r="C3" s="12">
        <v>2</v>
      </c>
      <c r="D3" s="12" t="s">
        <v>21</v>
      </c>
      <c r="E3" s="2" t="s">
        <v>27</v>
      </c>
      <c r="F3" s="13" t="b">
        <f>FALSE()</f>
        <v>0</v>
      </c>
      <c r="G3" s="13">
        <v>3</v>
      </c>
      <c r="H3" s="13" t="s">
        <v>23</v>
      </c>
      <c r="I3" s="13" t="s">
        <v>392</v>
      </c>
      <c r="J3" s="13" t="s">
        <v>393</v>
      </c>
      <c r="K3" s="14" t="s">
        <v>23</v>
      </c>
      <c r="L3" s="14">
        <v>6</v>
      </c>
      <c r="M3" s="14" t="s">
        <v>26</v>
      </c>
      <c r="N3" s="12">
        <f t="shared" si="0"/>
        <v>1</v>
      </c>
      <c r="O3" s="5">
        <f t="shared" si="1"/>
        <v>0</v>
      </c>
      <c r="P3" s="15">
        <v>1</v>
      </c>
      <c r="Q3" s="15">
        <v>2</v>
      </c>
      <c r="R3" s="15">
        <v>1</v>
      </c>
      <c r="S3" s="15">
        <v>3</v>
      </c>
      <c r="T3" s="15">
        <v>3</v>
      </c>
      <c r="U3" s="12" t="s">
        <v>394</v>
      </c>
    </row>
    <row r="4" spans="1:21" ht="113.25" customHeight="1" x14ac:dyDescent="0.25">
      <c r="A4" s="12">
        <v>1132</v>
      </c>
      <c r="B4" s="12">
        <v>1</v>
      </c>
      <c r="C4" s="12">
        <v>3</v>
      </c>
      <c r="D4" s="12" t="s">
        <v>30</v>
      </c>
      <c r="E4" s="2" t="s">
        <v>31</v>
      </c>
      <c r="F4" s="13" t="b">
        <f>FALSE()</f>
        <v>0</v>
      </c>
      <c r="G4" s="13">
        <v>3</v>
      </c>
      <c r="H4" s="13" t="s">
        <v>23</v>
      </c>
      <c r="I4" s="13" t="s">
        <v>395</v>
      </c>
      <c r="J4" s="13" t="s">
        <v>396</v>
      </c>
      <c r="K4" s="14" t="s">
        <v>32</v>
      </c>
      <c r="L4" s="14">
        <v>7</v>
      </c>
      <c r="M4" s="14" t="s">
        <v>35</v>
      </c>
      <c r="N4" s="12">
        <f t="shared" si="0"/>
        <v>0</v>
      </c>
      <c r="O4" s="5">
        <f t="shared" si="1"/>
        <v>0</v>
      </c>
      <c r="P4" s="15">
        <v>1</v>
      </c>
      <c r="Q4" s="15">
        <v>3</v>
      </c>
      <c r="R4" s="15">
        <v>1</v>
      </c>
      <c r="S4" s="15">
        <v>3</v>
      </c>
      <c r="T4" s="15">
        <v>3</v>
      </c>
      <c r="U4" s="12" t="s">
        <v>397</v>
      </c>
    </row>
    <row r="5" spans="1:21" ht="102" customHeight="1" x14ac:dyDescent="0.25">
      <c r="A5" s="12">
        <v>1132</v>
      </c>
      <c r="B5" s="12">
        <v>1</v>
      </c>
      <c r="C5" s="12">
        <v>4</v>
      </c>
      <c r="D5" s="12" t="s">
        <v>21</v>
      </c>
      <c r="E5" s="2" t="s">
        <v>36</v>
      </c>
      <c r="F5" s="13" t="b">
        <f>FALSE()</f>
        <v>0</v>
      </c>
      <c r="G5" s="13">
        <v>3</v>
      </c>
      <c r="H5" s="13" t="s">
        <v>23</v>
      </c>
      <c r="I5" s="13" t="s">
        <v>398</v>
      </c>
      <c r="J5" s="13" t="s">
        <v>399</v>
      </c>
      <c r="K5" s="14" t="s">
        <v>39</v>
      </c>
      <c r="L5" s="14">
        <v>3</v>
      </c>
      <c r="M5" s="14" t="s">
        <v>40</v>
      </c>
      <c r="N5" s="12">
        <f t="shared" si="0"/>
        <v>0</v>
      </c>
      <c r="O5" s="5">
        <f t="shared" si="1"/>
        <v>1</v>
      </c>
      <c r="P5" s="15">
        <v>1</v>
      </c>
      <c r="Q5" s="15">
        <v>3</v>
      </c>
      <c r="R5" s="15">
        <v>1</v>
      </c>
      <c r="S5" s="15">
        <v>2</v>
      </c>
      <c r="T5" s="15">
        <v>3</v>
      </c>
      <c r="U5" s="12" t="s">
        <v>400</v>
      </c>
    </row>
    <row r="6" spans="1:21" ht="102" customHeight="1" x14ac:dyDescent="0.25">
      <c r="A6" s="12">
        <v>1132</v>
      </c>
      <c r="B6" s="12">
        <v>1</v>
      </c>
      <c r="C6" s="12">
        <v>5</v>
      </c>
      <c r="D6" s="12" t="s">
        <v>21</v>
      </c>
      <c r="E6" s="2" t="s">
        <v>42</v>
      </c>
      <c r="F6" s="13" t="b">
        <f>FALSE()</f>
        <v>0</v>
      </c>
      <c r="G6" s="13">
        <v>3</v>
      </c>
      <c r="H6" s="13" t="s">
        <v>23</v>
      </c>
      <c r="I6" s="13" t="s">
        <v>401</v>
      </c>
      <c r="J6" s="13" t="s">
        <v>402</v>
      </c>
      <c r="K6" s="14" t="s">
        <v>39</v>
      </c>
      <c r="L6" s="14">
        <v>3</v>
      </c>
      <c r="M6" s="14" t="s">
        <v>40</v>
      </c>
      <c r="N6" s="12">
        <f t="shared" si="0"/>
        <v>0</v>
      </c>
      <c r="O6" s="5">
        <f t="shared" si="1"/>
        <v>1</v>
      </c>
      <c r="P6" s="15">
        <v>1</v>
      </c>
      <c r="Q6" s="15">
        <v>3</v>
      </c>
      <c r="R6" s="15">
        <v>1</v>
      </c>
      <c r="S6" s="15">
        <v>2</v>
      </c>
      <c r="T6" s="15">
        <v>3</v>
      </c>
      <c r="U6" s="12" t="s">
        <v>403</v>
      </c>
    </row>
    <row r="7" spans="1:21" ht="102" customHeight="1" x14ac:dyDescent="0.25">
      <c r="A7" s="12">
        <v>1132</v>
      </c>
      <c r="B7" s="12">
        <v>1</v>
      </c>
      <c r="C7" s="12">
        <v>6</v>
      </c>
      <c r="D7" s="12" t="s">
        <v>21</v>
      </c>
      <c r="E7" s="2" t="s">
        <v>46</v>
      </c>
      <c r="F7" s="13" t="b">
        <f>FALSE()</f>
        <v>0</v>
      </c>
      <c r="G7" s="13">
        <v>3</v>
      </c>
      <c r="H7" s="13" t="s">
        <v>23</v>
      </c>
      <c r="I7" s="13" t="s">
        <v>404</v>
      </c>
      <c r="J7" s="13" t="s">
        <v>405</v>
      </c>
      <c r="K7" s="14" t="s">
        <v>39</v>
      </c>
      <c r="L7" s="14">
        <v>3</v>
      </c>
      <c r="M7" s="14" t="s">
        <v>49</v>
      </c>
      <c r="N7" s="12">
        <f t="shared" si="0"/>
        <v>0</v>
      </c>
      <c r="O7" s="5">
        <f t="shared" si="1"/>
        <v>1</v>
      </c>
      <c r="P7" s="15">
        <v>1</v>
      </c>
      <c r="Q7" s="15">
        <v>3</v>
      </c>
      <c r="R7" s="15">
        <v>1</v>
      </c>
      <c r="S7" s="15">
        <v>3</v>
      </c>
      <c r="T7" s="15">
        <v>3</v>
      </c>
      <c r="U7" s="12" t="s">
        <v>406</v>
      </c>
    </row>
    <row r="8" spans="1:21" ht="113.25" customHeight="1" x14ac:dyDescent="0.25">
      <c r="A8" s="12">
        <v>1132</v>
      </c>
      <c r="B8" s="12">
        <v>1</v>
      </c>
      <c r="C8" s="12">
        <v>7</v>
      </c>
      <c r="D8" s="12" t="s">
        <v>30</v>
      </c>
      <c r="E8" s="2" t="s">
        <v>51</v>
      </c>
      <c r="F8" s="13" t="b">
        <f>FALSE()</f>
        <v>0</v>
      </c>
      <c r="G8" s="13">
        <v>2</v>
      </c>
      <c r="H8" s="13" t="s">
        <v>23</v>
      </c>
      <c r="I8" s="13" t="s">
        <v>407</v>
      </c>
      <c r="J8" s="13" t="s">
        <v>408</v>
      </c>
      <c r="K8" s="14" t="s">
        <v>32</v>
      </c>
      <c r="L8" s="14">
        <v>7</v>
      </c>
      <c r="M8" s="14" t="s">
        <v>54</v>
      </c>
      <c r="N8" s="12">
        <f t="shared" si="0"/>
        <v>0</v>
      </c>
      <c r="O8" s="5">
        <f t="shared" si="1"/>
        <v>0</v>
      </c>
      <c r="P8" s="15">
        <v>2</v>
      </c>
      <c r="Q8" s="15">
        <v>3</v>
      </c>
      <c r="R8" s="15">
        <v>1</v>
      </c>
      <c r="S8" s="15">
        <v>3</v>
      </c>
      <c r="T8" s="15">
        <v>3</v>
      </c>
      <c r="U8" s="12" t="s">
        <v>409</v>
      </c>
    </row>
    <row r="9" spans="1:21" ht="147" customHeight="1" x14ac:dyDescent="0.25">
      <c r="A9" s="12">
        <v>1132</v>
      </c>
      <c r="B9" s="12">
        <v>1</v>
      </c>
      <c r="C9" s="12">
        <v>8</v>
      </c>
      <c r="D9" s="12" t="s">
        <v>55</v>
      </c>
      <c r="E9" s="2" t="s">
        <v>56</v>
      </c>
      <c r="F9" s="13" t="b">
        <f>FALSE()</f>
        <v>0</v>
      </c>
      <c r="G9" s="13">
        <v>2</v>
      </c>
      <c r="H9" s="13" t="s">
        <v>23</v>
      </c>
      <c r="I9" s="13" t="s">
        <v>410</v>
      </c>
      <c r="J9" s="13" t="s">
        <v>411</v>
      </c>
      <c r="K9" s="14" t="s">
        <v>58</v>
      </c>
      <c r="L9" s="14"/>
      <c r="M9" s="14" t="s">
        <v>61</v>
      </c>
      <c r="N9" s="12">
        <f t="shared" si="0"/>
        <v>0</v>
      </c>
      <c r="O9" s="5" t="str">
        <f t="shared" si="1"/>
        <v/>
      </c>
      <c r="P9" s="15">
        <v>2</v>
      </c>
      <c r="Q9" s="15">
        <v>3</v>
      </c>
      <c r="R9" s="15">
        <v>1</v>
      </c>
      <c r="S9" s="15">
        <v>3</v>
      </c>
      <c r="T9" s="15">
        <v>3</v>
      </c>
      <c r="U9" s="12" t="s">
        <v>412</v>
      </c>
    </row>
    <row r="10" spans="1:21" ht="147" customHeight="1" x14ac:dyDescent="0.25">
      <c r="A10" s="12">
        <v>1132</v>
      </c>
      <c r="B10" s="12">
        <v>2</v>
      </c>
      <c r="C10" s="12">
        <v>1</v>
      </c>
      <c r="D10" s="12" t="s">
        <v>21</v>
      </c>
      <c r="E10" s="2" t="s">
        <v>63</v>
      </c>
      <c r="F10" s="13" t="b">
        <f>FALSE()</f>
        <v>0</v>
      </c>
      <c r="G10" s="13">
        <v>4</v>
      </c>
      <c r="H10" s="13" t="s">
        <v>23</v>
      </c>
      <c r="I10" s="13" t="s">
        <v>413</v>
      </c>
      <c r="J10" s="13" t="s">
        <v>414</v>
      </c>
      <c r="K10" s="14" t="s">
        <v>39</v>
      </c>
      <c r="L10" s="14">
        <v>6</v>
      </c>
      <c r="M10" s="14" t="s">
        <v>66</v>
      </c>
      <c r="N10" s="12">
        <f t="shared" si="0"/>
        <v>0</v>
      </c>
      <c r="O10" s="5">
        <f t="shared" si="1"/>
        <v>0</v>
      </c>
      <c r="P10" s="15">
        <v>1</v>
      </c>
      <c r="Q10" s="15">
        <v>3</v>
      </c>
      <c r="R10" s="15">
        <v>1</v>
      </c>
      <c r="S10" s="15">
        <v>4</v>
      </c>
      <c r="T10" s="15">
        <v>3</v>
      </c>
      <c r="U10" s="12" t="s">
        <v>415</v>
      </c>
    </row>
    <row r="11" spans="1:21" ht="135.75" customHeight="1" x14ac:dyDescent="0.25">
      <c r="A11" s="12">
        <v>1132</v>
      </c>
      <c r="B11" s="12">
        <v>2</v>
      </c>
      <c r="C11" s="12">
        <v>2</v>
      </c>
      <c r="D11" s="12" t="s">
        <v>30</v>
      </c>
      <c r="E11" s="2" t="s">
        <v>67</v>
      </c>
      <c r="F11" s="13" t="b">
        <f>TRUE()</f>
        <v>1</v>
      </c>
      <c r="G11" s="13" t="s">
        <v>57</v>
      </c>
      <c r="H11" s="13" t="s">
        <v>58</v>
      </c>
      <c r="I11" s="13" t="s">
        <v>416</v>
      </c>
      <c r="J11" s="13" t="s">
        <v>417</v>
      </c>
      <c r="K11" s="14" t="s">
        <v>32</v>
      </c>
      <c r="L11" s="14">
        <v>6</v>
      </c>
      <c r="M11" s="14" t="s">
        <v>70</v>
      </c>
      <c r="N11" s="12">
        <f t="shared" si="0"/>
        <v>0</v>
      </c>
      <c r="O11" s="5">
        <f t="shared" si="1"/>
        <v>0</v>
      </c>
      <c r="P11" s="15">
        <v>5</v>
      </c>
      <c r="Q11" s="15">
        <v>5</v>
      </c>
      <c r="R11" s="15">
        <v>1</v>
      </c>
      <c r="S11" s="15">
        <v>5</v>
      </c>
      <c r="T11" s="15">
        <v>5</v>
      </c>
      <c r="U11" s="12" t="s">
        <v>418</v>
      </c>
    </row>
    <row r="12" spans="1:21" ht="135.75" customHeight="1" x14ac:dyDescent="0.25">
      <c r="A12" s="12">
        <v>1132</v>
      </c>
      <c r="B12" s="12">
        <v>2</v>
      </c>
      <c r="C12" s="12">
        <v>3</v>
      </c>
      <c r="D12" s="12" t="s">
        <v>30</v>
      </c>
      <c r="E12" s="2" t="s">
        <v>71</v>
      </c>
      <c r="F12" s="13" t="b">
        <f>TRUE()</f>
        <v>1</v>
      </c>
      <c r="G12" s="13" t="s">
        <v>57</v>
      </c>
      <c r="H12" s="13" t="s">
        <v>58</v>
      </c>
      <c r="I12" s="13" t="s">
        <v>419</v>
      </c>
      <c r="J12" s="13" t="s">
        <v>420</v>
      </c>
      <c r="K12" s="14" t="s">
        <v>32</v>
      </c>
      <c r="L12" s="14">
        <v>6</v>
      </c>
      <c r="M12" s="14" t="s">
        <v>70</v>
      </c>
      <c r="N12" s="12">
        <f t="shared" si="0"/>
        <v>0</v>
      </c>
      <c r="O12" s="5">
        <f t="shared" si="1"/>
        <v>0</v>
      </c>
      <c r="P12" s="15">
        <v>5</v>
      </c>
      <c r="Q12" s="15">
        <v>5</v>
      </c>
      <c r="R12" s="15">
        <v>1</v>
      </c>
      <c r="S12" s="15">
        <v>5</v>
      </c>
      <c r="T12" s="15">
        <v>5</v>
      </c>
      <c r="U12" s="12" t="s">
        <v>421</v>
      </c>
    </row>
    <row r="13" spans="1:21" ht="147" customHeight="1" x14ac:dyDescent="0.25">
      <c r="A13" s="12">
        <v>1132</v>
      </c>
      <c r="B13" s="12">
        <v>2</v>
      </c>
      <c r="C13" s="12">
        <v>4</v>
      </c>
      <c r="D13" s="12" t="s">
        <v>55</v>
      </c>
      <c r="E13" s="2" t="s">
        <v>74</v>
      </c>
      <c r="F13" s="13" t="b">
        <f>TRUE()</f>
        <v>1</v>
      </c>
      <c r="G13" s="13" t="s">
        <v>57</v>
      </c>
      <c r="H13" s="13" t="s">
        <v>58</v>
      </c>
      <c r="I13" s="13" t="s">
        <v>422</v>
      </c>
      <c r="J13" s="13" t="s">
        <v>423</v>
      </c>
      <c r="K13" s="14" t="s">
        <v>58</v>
      </c>
      <c r="L13" s="14"/>
      <c r="M13" s="14" t="s">
        <v>61</v>
      </c>
      <c r="N13" s="12">
        <f t="shared" si="0"/>
        <v>1</v>
      </c>
      <c r="O13" s="5" t="str">
        <f t="shared" si="1"/>
        <v/>
      </c>
      <c r="P13" s="15">
        <v>5</v>
      </c>
      <c r="Q13" s="15">
        <v>5</v>
      </c>
      <c r="R13" s="15">
        <v>2</v>
      </c>
      <c r="S13" s="15">
        <v>5</v>
      </c>
      <c r="T13" s="15">
        <v>5</v>
      </c>
      <c r="U13" s="12" t="s">
        <v>424</v>
      </c>
    </row>
    <row r="14" spans="1:21" ht="135.75" customHeight="1" x14ac:dyDescent="0.25">
      <c r="A14" s="12">
        <v>1132</v>
      </c>
      <c r="B14" s="12">
        <v>3</v>
      </c>
      <c r="C14" s="12">
        <v>1</v>
      </c>
      <c r="D14" s="12" t="s">
        <v>21</v>
      </c>
      <c r="E14" s="2" t="s">
        <v>78</v>
      </c>
      <c r="F14" s="13" t="b">
        <f>TRUE()</f>
        <v>1</v>
      </c>
      <c r="G14" s="13" t="s">
        <v>57</v>
      </c>
      <c r="H14" s="13" t="s">
        <v>58</v>
      </c>
      <c r="I14" s="13" t="s">
        <v>425</v>
      </c>
      <c r="J14" s="13" t="s">
        <v>426</v>
      </c>
      <c r="K14" s="14" t="s">
        <v>58</v>
      </c>
      <c r="L14" s="14"/>
      <c r="M14" s="14" t="s">
        <v>81</v>
      </c>
      <c r="N14" s="12">
        <f t="shared" si="0"/>
        <v>1</v>
      </c>
      <c r="O14" s="5" t="str">
        <f t="shared" si="1"/>
        <v/>
      </c>
      <c r="P14" s="15">
        <v>5</v>
      </c>
      <c r="Q14" s="15">
        <v>5</v>
      </c>
      <c r="R14" s="15">
        <v>2</v>
      </c>
      <c r="S14" s="15">
        <v>5</v>
      </c>
      <c r="T14" s="15">
        <v>5</v>
      </c>
      <c r="U14" s="12" t="s">
        <v>424</v>
      </c>
    </row>
    <row r="15" spans="1:21" ht="135.75" customHeight="1" x14ac:dyDescent="0.25">
      <c r="A15" s="12">
        <v>1132</v>
      </c>
      <c r="B15" s="12">
        <v>3</v>
      </c>
      <c r="C15" s="12">
        <v>2</v>
      </c>
      <c r="D15" s="12" t="s">
        <v>55</v>
      </c>
      <c r="E15" s="2" t="s">
        <v>83</v>
      </c>
      <c r="F15" s="13" t="b">
        <f>TRUE()</f>
        <v>1</v>
      </c>
      <c r="G15" s="13" t="s">
        <v>57</v>
      </c>
      <c r="H15" s="13" t="s">
        <v>58</v>
      </c>
      <c r="I15" s="13" t="s">
        <v>427</v>
      </c>
      <c r="J15" s="13" t="s">
        <v>428</v>
      </c>
      <c r="K15" s="14" t="s">
        <v>58</v>
      </c>
      <c r="L15" s="14"/>
      <c r="M15" s="14" t="s">
        <v>61</v>
      </c>
      <c r="N15" s="12">
        <f t="shared" si="0"/>
        <v>1</v>
      </c>
      <c r="O15" s="5" t="str">
        <f t="shared" si="1"/>
        <v/>
      </c>
      <c r="P15" s="15">
        <v>5</v>
      </c>
      <c r="Q15" s="15">
        <v>5</v>
      </c>
      <c r="R15" s="15">
        <v>2</v>
      </c>
      <c r="S15" s="15">
        <v>5</v>
      </c>
      <c r="T15" s="15">
        <v>5</v>
      </c>
      <c r="U15" s="12" t="s">
        <v>424</v>
      </c>
    </row>
    <row r="16" spans="1:21" ht="102" customHeight="1" x14ac:dyDescent="0.25">
      <c r="A16" s="12">
        <v>1153</v>
      </c>
      <c r="B16" s="12">
        <v>1</v>
      </c>
      <c r="C16" s="12">
        <v>1</v>
      </c>
      <c r="D16" s="12" t="s">
        <v>55</v>
      </c>
      <c r="E16" s="2" t="s">
        <v>86</v>
      </c>
      <c r="F16" s="13" t="b">
        <f>TRUE()</f>
        <v>1</v>
      </c>
      <c r="G16" s="13" t="s">
        <v>57</v>
      </c>
      <c r="H16" s="13" t="s">
        <v>58</v>
      </c>
      <c r="I16" s="13" t="s">
        <v>429</v>
      </c>
      <c r="J16" s="13" t="s">
        <v>430</v>
      </c>
      <c r="K16" s="14" t="s">
        <v>58</v>
      </c>
      <c r="L16" s="14"/>
      <c r="M16" s="14" t="s">
        <v>89</v>
      </c>
      <c r="N16" s="12">
        <f t="shared" si="0"/>
        <v>1</v>
      </c>
      <c r="O16" s="5" t="str">
        <f t="shared" si="1"/>
        <v/>
      </c>
      <c r="P16" s="15">
        <v>5</v>
      </c>
      <c r="Q16" s="15">
        <v>5</v>
      </c>
      <c r="R16" s="15">
        <v>2</v>
      </c>
      <c r="S16" s="15">
        <v>5</v>
      </c>
      <c r="T16" s="15">
        <v>5</v>
      </c>
      <c r="U16" s="12" t="s">
        <v>424</v>
      </c>
    </row>
    <row r="17" spans="1:21" ht="102" customHeight="1" x14ac:dyDescent="0.25">
      <c r="A17" s="12">
        <v>1153</v>
      </c>
      <c r="B17" s="12">
        <v>2</v>
      </c>
      <c r="C17" s="12">
        <v>1</v>
      </c>
      <c r="D17" s="12" t="s">
        <v>30</v>
      </c>
      <c r="E17" s="2" t="s">
        <v>91</v>
      </c>
      <c r="F17" s="13" t="b">
        <f>FALSE()</f>
        <v>0</v>
      </c>
      <c r="G17" s="13">
        <v>6</v>
      </c>
      <c r="H17" s="13" t="s">
        <v>32</v>
      </c>
      <c r="I17" s="13" t="s">
        <v>431</v>
      </c>
      <c r="J17" s="13" t="s">
        <v>432</v>
      </c>
      <c r="K17" s="14" t="s">
        <v>32</v>
      </c>
      <c r="L17" s="14">
        <v>7</v>
      </c>
      <c r="M17" s="14" t="s">
        <v>94</v>
      </c>
      <c r="N17" s="12">
        <f t="shared" si="0"/>
        <v>1</v>
      </c>
      <c r="O17" s="5">
        <f t="shared" si="1"/>
        <v>0</v>
      </c>
      <c r="P17" s="15">
        <v>1</v>
      </c>
      <c r="Q17" s="15">
        <v>2</v>
      </c>
      <c r="R17" s="15">
        <v>1</v>
      </c>
      <c r="S17" s="15">
        <v>4</v>
      </c>
      <c r="T17" s="15">
        <v>3</v>
      </c>
      <c r="U17" s="12" t="s">
        <v>433</v>
      </c>
    </row>
    <row r="18" spans="1:21" ht="113.25" customHeight="1" x14ac:dyDescent="0.25">
      <c r="A18" s="12">
        <v>1153</v>
      </c>
      <c r="B18" s="12">
        <v>2</v>
      </c>
      <c r="C18" s="12">
        <v>2</v>
      </c>
      <c r="D18" s="12" t="s">
        <v>21</v>
      </c>
      <c r="E18" s="2" t="s">
        <v>96</v>
      </c>
      <c r="F18" s="13" t="b">
        <f>FALSE()</f>
        <v>0</v>
      </c>
      <c r="G18" s="13">
        <v>5</v>
      </c>
      <c r="H18" s="13" t="s">
        <v>23</v>
      </c>
      <c r="I18" s="13" t="s">
        <v>434</v>
      </c>
      <c r="J18" s="13" t="s">
        <v>435</v>
      </c>
      <c r="K18" s="14" t="s">
        <v>23</v>
      </c>
      <c r="L18" s="14">
        <v>6</v>
      </c>
      <c r="M18" s="14" t="s">
        <v>99</v>
      </c>
      <c r="N18" s="12">
        <f t="shared" si="0"/>
        <v>1</v>
      </c>
      <c r="O18" s="5">
        <f t="shared" si="1"/>
        <v>0</v>
      </c>
      <c r="P18" s="15">
        <v>1</v>
      </c>
      <c r="Q18" s="15">
        <v>5</v>
      </c>
      <c r="R18" s="15">
        <v>1</v>
      </c>
      <c r="S18" s="15">
        <v>5</v>
      </c>
      <c r="T18" s="15">
        <v>3</v>
      </c>
      <c r="U18" s="12" t="s">
        <v>436</v>
      </c>
    </row>
    <row r="19" spans="1:21" ht="124.5" customHeight="1" x14ac:dyDescent="0.25">
      <c r="A19" s="12">
        <v>1153</v>
      </c>
      <c r="B19" s="12">
        <v>2</v>
      </c>
      <c r="C19" s="12">
        <v>3</v>
      </c>
      <c r="D19" s="12" t="s">
        <v>55</v>
      </c>
      <c r="E19" s="2" t="s">
        <v>100</v>
      </c>
      <c r="F19" s="13" t="b">
        <f>TRUE()</f>
        <v>1</v>
      </c>
      <c r="G19" s="13" t="s">
        <v>57</v>
      </c>
      <c r="H19" s="13" t="s">
        <v>58</v>
      </c>
      <c r="I19" s="13" t="s">
        <v>437</v>
      </c>
      <c r="J19" s="13" t="s">
        <v>438</v>
      </c>
      <c r="K19" s="14" t="s">
        <v>58</v>
      </c>
      <c r="L19" s="14"/>
      <c r="M19" s="14" t="s">
        <v>103</v>
      </c>
      <c r="N19" s="12">
        <f t="shared" si="0"/>
        <v>1</v>
      </c>
      <c r="O19" s="5" t="str">
        <f t="shared" si="1"/>
        <v/>
      </c>
      <c r="P19" s="15">
        <v>5</v>
      </c>
      <c r="Q19" s="15">
        <v>5</v>
      </c>
      <c r="R19" s="15">
        <v>3</v>
      </c>
      <c r="S19" s="15">
        <v>5</v>
      </c>
      <c r="T19" s="15">
        <v>5</v>
      </c>
      <c r="U19" s="12" t="s">
        <v>439</v>
      </c>
    </row>
    <row r="20" spans="1:21" ht="57" customHeight="1" x14ac:dyDescent="0.25">
      <c r="A20" s="12">
        <v>1153</v>
      </c>
      <c r="B20" s="12">
        <v>3</v>
      </c>
      <c r="C20" s="12">
        <v>1</v>
      </c>
      <c r="D20" s="12" t="s">
        <v>55</v>
      </c>
      <c r="E20" s="2" t="s">
        <v>104</v>
      </c>
      <c r="F20" s="13" t="b">
        <f>TRUE()</f>
        <v>1</v>
      </c>
      <c r="G20" s="13" t="s">
        <v>57</v>
      </c>
      <c r="H20" s="13" t="s">
        <v>58</v>
      </c>
      <c r="I20" s="13" t="s">
        <v>440</v>
      </c>
      <c r="J20" s="13" t="s">
        <v>441</v>
      </c>
      <c r="K20" s="14" t="s">
        <v>58</v>
      </c>
      <c r="L20" s="14"/>
      <c r="M20" s="14" t="s">
        <v>103</v>
      </c>
      <c r="N20" s="12">
        <f t="shared" si="0"/>
        <v>1</v>
      </c>
      <c r="O20" s="5" t="str">
        <f t="shared" si="1"/>
        <v/>
      </c>
      <c r="P20" s="15">
        <v>5</v>
      </c>
      <c r="Q20" s="15">
        <v>5</v>
      </c>
      <c r="R20" s="15">
        <v>2</v>
      </c>
      <c r="S20" s="15">
        <v>5</v>
      </c>
      <c r="T20" s="15">
        <v>5</v>
      </c>
      <c r="U20" s="12" t="s">
        <v>424</v>
      </c>
    </row>
    <row r="21" spans="1:21" ht="258.75" customHeight="1" x14ac:dyDescent="0.25">
      <c r="A21" s="12">
        <v>1828</v>
      </c>
      <c r="B21" s="12">
        <v>1</v>
      </c>
      <c r="C21" s="12">
        <v>1</v>
      </c>
      <c r="D21" s="12" t="s">
        <v>21</v>
      </c>
      <c r="E21" s="2" t="s">
        <v>107</v>
      </c>
      <c r="F21" s="13" t="b">
        <f>FALSE()</f>
        <v>0</v>
      </c>
      <c r="G21" s="13">
        <v>12</v>
      </c>
      <c r="H21" s="13" t="s">
        <v>23</v>
      </c>
      <c r="I21" s="13" t="s">
        <v>442</v>
      </c>
      <c r="J21" s="13" t="s">
        <v>443</v>
      </c>
      <c r="K21" s="14" t="s">
        <v>23</v>
      </c>
      <c r="L21" s="14">
        <v>16</v>
      </c>
      <c r="M21" s="14" t="s">
        <v>110</v>
      </c>
      <c r="N21" s="12">
        <f t="shared" si="0"/>
        <v>1</v>
      </c>
      <c r="O21" s="5">
        <f t="shared" si="1"/>
        <v>0</v>
      </c>
      <c r="P21" s="15">
        <v>2</v>
      </c>
      <c r="Q21" s="15">
        <v>5</v>
      </c>
      <c r="R21" s="15">
        <v>2</v>
      </c>
      <c r="S21" s="15">
        <v>4</v>
      </c>
      <c r="T21" s="15">
        <v>3</v>
      </c>
      <c r="U21" s="12" t="s">
        <v>444</v>
      </c>
    </row>
    <row r="22" spans="1:21" ht="258.75" customHeight="1" x14ac:dyDescent="0.25">
      <c r="A22" s="12">
        <v>1828</v>
      </c>
      <c r="B22" s="12">
        <v>1</v>
      </c>
      <c r="C22" s="12">
        <v>2</v>
      </c>
      <c r="D22" s="12" t="s">
        <v>111</v>
      </c>
      <c r="E22" s="2" t="s">
        <v>112</v>
      </c>
      <c r="F22" s="13" t="b">
        <f>TRUE()</f>
        <v>1</v>
      </c>
      <c r="G22" s="13" t="s">
        <v>57</v>
      </c>
      <c r="H22" s="13" t="s">
        <v>58</v>
      </c>
      <c r="I22" s="13" t="s">
        <v>445</v>
      </c>
      <c r="J22" s="13" t="s">
        <v>446</v>
      </c>
      <c r="K22" s="14" t="s">
        <v>32</v>
      </c>
      <c r="L22" s="14">
        <v>3</v>
      </c>
      <c r="M22" s="14" t="s">
        <v>115</v>
      </c>
      <c r="N22" s="12">
        <f t="shared" si="0"/>
        <v>0</v>
      </c>
      <c r="O22" s="5">
        <f t="shared" si="1"/>
        <v>0</v>
      </c>
      <c r="P22" s="15">
        <v>5</v>
      </c>
      <c r="Q22" s="15">
        <v>5</v>
      </c>
      <c r="R22" s="15">
        <v>1</v>
      </c>
      <c r="S22" s="15">
        <v>5</v>
      </c>
      <c r="T22" s="15">
        <v>5</v>
      </c>
      <c r="U22" s="12" t="s">
        <v>447</v>
      </c>
    </row>
    <row r="23" spans="1:21" ht="258.75" customHeight="1" x14ac:dyDescent="0.25">
      <c r="A23" s="12">
        <v>1828</v>
      </c>
      <c r="B23" s="12">
        <v>1</v>
      </c>
      <c r="C23" s="12">
        <v>3</v>
      </c>
      <c r="D23" s="12" t="s">
        <v>55</v>
      </c>
      <c r="E23" s="2" t="s">
        <v>116</v>
      </c>
      <c r="F23" s="13" t="b">
        <f>FALSE()</f>
        <v>0</v>
      </c>
      <c r="G23" s="13">
        <v>12</v>
      </c>
      <c r="H23" s="13" t="s">
        <v>23</v>
      </c>
      <c r="I23" s="13" t="s">
        <v>448</v>
      </c>
      <c r="J23" s="13" t="s">
        <v>449</v>
      </c>
      <c r="K23" s="14" t="s">
        <v>58</v>
      </c>
      <c r="L23" s="14"/>
      <c r="M23" s="14" t="s">
        <v>119</v>
      </c>
      <c r="N23" s="12">
        <f t="shared" si="0"/>
        <v>0</v>
      </c>
      <c r="O23" s="5" t="str">
        <f t="shared" si="1"/>
        <v/>
      </c>
      <c r="P23" s="15">
        <v>2</v>
      </c>
      <c r="Q23" s="15">
        <v>5</v>
      </c>
      <c r="R23" s="15">
        <v>2</v>
      </c>
      <c r="S23" s="15">
        <v>4</v>
      </c>
      <c r="T23" s="15">
        <v>3</v>
      </c>
      <c r="U23" s="12" t="s">
        <v>450</v>
      </c>
    </row>
    <row r="24" spans="1:21" ht="281.25" customHeight="1" x14ac:dyDescent="0.25">
      <c r="A24" s="12">
        <v>1828</v>
      </c>
      <c r="B24" s="12">
        <v>2</v>
      </c>
      <c r="C24" s="12">
        <v>1</v>
      </c>
      <c r="D24" s="12" t="s">
        <v>21</v>
      </c>
      <c r="E24" s="2" t="s">
        <v>120</v>
      </c>
      <c r="F24" s="13" t="b">
        <f>FALSE()</f>
        <v>0</v>
      </c>
      <c r="G24" s="13">
        <v>10</v>
      </c>
      <c r="H24" s="13" t="s">
        <v>32</v>
      </c>
      <c r="I24" s="13" t="s">
        <v>451</v>
      </c>
      <c r="J24" s="13" t="s">
        <v>452</v>
      </c>
      <c r="K24" s="14" t="s">
        <v>23</v>
      </c>
      <c r="L24" s="14">
        <v>7</v>
      </c>
      <c r="M24" s="14" t="s">
        <v>123</v>
      </c>
      <c r="N24" s="12">
        <f t="shared" si="0"/>
        <v>0</v>
      </c>
      <c r="O24" s="5">
        <f t="shared" si="1"/>
        <v>0</v>
      </c>
      <c r="P24" s="15">
        <v>2</v>
      </c>
      <c r="Q24" s="15">
        <v>3</v>
      </c>
      <c r="R24" s="15">
        <v>1</v>
      </c>
      <c r="S24" s="15">
        <v>3</v>
      </c>
      <c r="T24" s="15">
        <v>3</v>
      </c>
      <c r="U24" s="12" t="s">
        <v>453</v>
      </c>
    </row>
    <row r="25" spans="1:21" ht="281.25" customHeight="1" x14ac:dyDescent="0.25">
      <c r="A25" s="12">
        <v>1828</v>
      </c>
      <c r="B25" s="12">
        <v>2</v>
      </c>
      <c r="C25" s="12">
        <v>2</v>
      </c>
      <c r="D25" s="12" t="s">
        <v>30</v>
      </c>
      <c r="E25" s="2" t="s">
        <v>124</v>
      </c>
      <c r="F25" s="13" t="b">
        <f>FALSE()</f>
        <v>0</v>
      </c>
      <c r="G25" s="13">
        <v>7</v>
      </c>
      <c r="H25" s="13" t="s">
        <v>32</v>
      </c>
      <c r="I25" s="13" t="s">
        <v>454</v>
      </c>
      <c r="J25" s="13" t="s">
        <v>455</v>
      </c>
      <c r="K25" s="14" t="s">
        <v>32</v>
      </c>
      <c r="L25" s="14">
        <v>7</v>
      </c>
      <c r="M25" s="14" t="s">
        <v>127</v>
      </c>
      <c r="N25" s="12">
        <f t="shared" si="0"/>
        <v>1</v>
      </c>
      <c r="O25" s="5">
        <f t="shared" si="1"/>
        <v>1</v>
      </c>
      <c r="P25" s="15">
        <v>2</v>
      </c>
      <c r="Q25" s="15">
        <v>4</v>
      </c>
      <c r="R25" s="15">
        <v>2</v>
      </c>
      <c r="S25" s="15">
        <v>4</v>
      </c>
      <c r="T25" s="15">
        <v>3</v>
      </c>
      <c r="U25" s="12" t="s">
        <v>456</v>
      </c>
    </row>
    <row r="26" spans="1:21" ht="359.25" customHeight="1" x14ac:dyDescent="0.25">
      <c r="A26" s="12">
        <v>1828</v>
      </c>
      <c r="B26" s="12">
        <v>2</v>
      </c>
      <c r="C26" s="12">
        <v>3</v>
      </c>
      <c r="D26" s="12" t="s">
        <v>55</v>
      </c>
      <c r="E26" s="2" t="s">
        <v>128</v>
      </c>
      <c r="F26" s="13" t="b">
        <f>FALSE()</f>
        <v>0</v>
      </c>
      <c r="G26" s="13">
        <v>10</v>
      </c>
      <c r="H26" s="13" t="s">
        <v>32</v>
      </c>
      <c r="I26" s="13" t="s">
        <v>457</v>
      </c>
      <c r="J26" s="13" t="s">
        <v>458</v>
      </c>
      <c r="K26" s="14" t="s">
        <v>58</v>
      </c>
      <c r="L26" s="14"/>
      <c r="M26" s="14" t="s">
        <v>119</v>
      </c>
      <c r="N26" s="12">
        <f t="shared" si="0"/>
        <v>0</v>
      </c>
      <c r="O26" s="5" t="str">
        <f t="shared" si="1"/>
        <v/>
      </c>
      <c r="P26" s="15">
        <v>3</v>
      </c>
      <c r="Q26" s="15">
        <v>4</v>
      </c>
      <c r="R26" s="15">
        <v>2</v>
      </c>
      <c r="S26" s="15">
        <v>4</v>
      </c>
      <c r="T26" s="15">
        <v>3</v>
      </c>
      <c r="U26" s="12" t="s">
        <v>459</v>
      </c>
    </row>
    <row r="27" spans="1:21" ht="213.75" customHeight="1" x14ac:dyDescent="0.25">
      <c r="A27" s="12">
        <v>1828</v>
      </c>
      <c r="B27" s="12">
        <v>3</v>
      </c>
      <c r="C27" s="12">
        <v>1</v>
      </c>
      <c r="D27" s="12" t="s">
        <v>55</v>
      </c>
      <c r="E27" s="2" t="s">
        <v>131</v>
      </c>
      <c r="F27" s="13" t="b">
        <f>TRUE()</f>
        <v>1</v>
      </c>
      <c r="G27" s="13" t="s">
        <v>57</v>
      </c>
      <c r="H27" s="13" t="s">
        <v>58</v>
      </c>
      <c r="I27" s="13" t="s">
        <v>460</v>
      </c>
      <c r="J27" s="13" t="s">
        <v>461</v>
      </c>
      <c r="K27" s="14" t="s">
        <v>58</v>
      </c>
      <c r="L27" s="14"/>
      <c r="M27" s="14" t="s">
        <v>119</v>
      </c>
      <c r="N27" s="12">
        <f t="shared" si="0"/>
        <v>1</v>
      </c>
      <c r="O27" s="5" t="str">
        <f t="shared" si="1"/>
        <v/>
      </c>
      <c r="P27" s="15">
        <v>5</v>
      </c>
      <c r="Q27" s="15">
        <v>5</v>
      </c>
      <c r="R27" s="15">
        <v>2</v>
      </c>
      <c r="S27" s="15">
        <v>5</v>
      </c>
      <c r="T27" s="15">
        <v>5</v>
      </c>
      <c r="U27" s="12" t="s">
        <v>424</v>
      </c>
    </row>
    <row r="28" spans="1:21" ht="225" customHeight="1" x14ac:dyDescent="0.25">
      <c r="A28" s="12">
        <v>1873</v>
      </c>
      <c r="B28" s="12">
        <v>1</v>
      </c>
      <c r="C28" s="12">
        <v>1</v>
      </c>
      <c r="D28" s="12" t="s">
        <v>21</v>
      </c>
      <c r="E28" s="2" t="s">
        <v>134</v>
      </c>
      <c r="F28" s="13" t="b">
        <f>FALSE()</f>
        <v>0</v>
      </c>
      <c r="G28" s="13">
        <v>10</v>
      </c>
      <c r="H28" s="13" t="s">
        <v>23</v>
      </c>
      <c r="I28" s="13" t="s">
        <v>462</v>
      </c>
      <c r="J28" s="13" t="s">
        <v>463</v>
      </c>
      <c r="K28" s="14" t="s">
        <v>23</v>
      </c>
      <c r="L28" s="14">
        <v>13</v>
      </c>
      <c r="M28" s="14" t="s">
        <v>137</v>
      </c>
      <c r="N28" s="12">
        <f t="shared" si="0"/>
        <v>1</v>
      </c>
      <c r="O28" s="5">
        <f t="shared" si="1"/>
        <v>0</v>
      </c>
      <c r="P28" s="15">
        <v>1</v>
      </c>
      <c r="Q28" s="15">
        <v>5</v>
      </c>
      <c r="R28" s="15">
        <v>1</v>
      </c>
      <c r="S28" s="15">
        <v>5</v>
      </c>
      <c r="T28" s="15">
        <v>3</v>
      </c>
      <c r="U28" s="12" t="s">
        <v>464</v>
      </c>
    </row>
    <row r="29" spans="1:21" ht="225" customHeight="1" x14ac:dyDescent="0.25">
      <c r="A29" s="12">
        <v>1873</v>
      </c>
      <c r="B29" s="12">
        <v>1</v>
      </c>
      <c r="C29" s="12">
        <v>2</v>
      </c>
      <c r="D29" s="12" t="s">
        <v>138</v>
      </c>
      <c r="E29" s="2" t="s">
        <v>139</v>
      </c>
      <c r="F29" s="13" t="b">
        <f>TRUE()</f>
        <v>1</v>
      </c>
      <c r="G29" s="13" t="s">
        <v>57</v>
      </c>
      <c r="H29" s="13" t="s">
        <v>58</v>
      </c>
      <c r="I29" s="13" t="s">
        <v>465</v>
      </c>
      <c r="J29" s="13" t="s">
        <v>466</v>
      </c>
      <c r="K29" s="14" t="s">
        <v>32</v>
      </c>
      <c r="L29" s="14">
        <v>6</v>
      </c>
      <c r="M29" s="14" t="s">
        <v>142</v>
      </c>
      <c r="N29" s="12">
        <f t="shared" si="0"/>
        <v>0</v>
      </c>
      <c r="O29" s="5">
        <f t="shared" si="1"/>
        <v>0</v>
      </c>
      <c r="P29" s="15">
        <v>5</v>
      </c>
      <c r="Q29" s="15">
        <v>5</v>
      </c>
      <c r="R29" s="15">
        <v>1</v>
      </c>
      <c r="S29" s="15">
        <v>5</v>
      </c>
      <c r="T29" s="15">
        <v>5</v>
      </c>
      <c r="U29" s="12" t="s">
        <v>467</v>
      </c>
    </row>
    <row r="30" spans="1:21" ht="325.5" customHeight="1" x14ac:dyDescent="0.25">
      <c r="A30" s="12">
        <v>1873</v>
      </c>
      <c r="B30" s="12">
        <v>1</v>
      </c>
      <c r="C30" s="12">
        <v>3</v>
      </c>
      <c r="D30" s="12" t="s">
        <v>138</v>
      </c>
      <c r="E30" s="2" t="s">
        <v>144</v>
      </c>
      <c r="F30" s="13" t="b">
        <f>FALSE()</f>
        <v>0</v>
      </c>
      <c r="G30" s="13">
        <v>10</v>
      </c>
      <c r="H30" s="13" t="s">
        <v>32</v>
      </c>
      <c r="I30" s="13" t="s">
        <v>468</v>
      </c>
      <c r="J30" s="13" t="s">
        <v>469</v>
      </c>
      <c r="K30" s="14" t="s">
        <v>32</v>
      </c>
      <c r="L30" s="14">
        <v>20</v>
      </c>
      <c r="M30" s="14" t="s">
        <v>147</v>
      </c>
      <c r="N30" s="12">
        <f t="shared" si="0"/>
        <v>1</v>
      </c>
      <c r="O30" s="5">
        <f t="shared" si="1"/>
        <v>0</v>
      </c>
      <c r="P30" s="15">
        <v>3</v>
      </c>
      <c r="Q30" s="15">
        <v>3</v>
      </c>
      <c r="R30" s="15">
        <v>2</v>
      </c>
      <c r="S30" s="15">
        <v>3</v>
      </c>
      <c r="T30" s="15">
        <v>3</v>
      </c>
      <c r="U30" s="12" t="s">
        <v>470</v>
      </c>
    </row>
    <row r="31" spans="1:21" ht="325.5" customHeight="1" x14ac:dyDescent="0.25">
      <c r="A31" s="12">
        <v>1873</v>
      </c>
      <c r="B31" s="12">
        <v>1</v>
      </c>
      <c r="C31" s="12">
        <v>4</v>
      </c>
      <c r="D31" s="12" t="s">
        <v>138</v>
      </c>
      <c r="E31" s="2" t="s">
        <v>148</v>
      </c>
      <c r="F31" s="13" t="b">
        <f>TRUE()</f>
        <v>1</v>
      </c>
      <c r="G31" s="13" t="s">
        <v>57</v>
      </c>
      <c r="H31" s="13" t="s">
        <v>58</v>
      </c>
      <c r="I31" s="13" t="s">
        <v>471</v>
      </c>
      <c r="J31" s="13" t="s">
        <v>472</v>
      </c>
      <c r="K31" s="14" t="s">
        <v>32</v>
      </c>
      <c r="L31" s="14">
        <v>6</v>
      </c>
      <c r="M31" s="14" t="s">
        <v>151</v>
      </c>
      <c r="N31" s="12">
        <f t="shared" si="0"/>
        <v>0</v>
      </c>
      <c r="O31" s="5">
        <f t="shared" si="1"/>
        <v>0</v>
      </c>
      <c r="P31" s="15">
        <v>5</v>
      </c>
      <c r="Q31" s="15">
        <v>5</v>
      </c>
      <c r="R31" s="15">
        <v>1</v>
      </c>
      <c r="S31" s="15">
        <v>5</v>
      </c>
      <c r="T31" s="15">
        <v>5</v>
      </c>
      <c r="U31" s="12" t="s">
        <v>467</v>
      </c>
    </row>
    <row r="32" spans="1:21" ht="258.75" customHeight="1" x14ac:dyDescent="0.25">
      <c r="A32" s="12">
        <v>1873</v>
      </c>
      <c r="B32" s="12">
        <v>1</v>
      </c>
      <c r="C32" s="12">
        <v>5</v>
      </c>
      <c r="D32" s="12" t="s">
        <v>21</v>
      </c>
      <c r="E32" s="2" t="s">
        <v>152</v>
      </c>
      <c r="F32" s="13" t="b">
        <f>FALSE()</f>
        <v>0</v>
      </c>
      <c r="G32" s="13">
        <v>10</v>
      </c>
      <c r="H32" s="13" t="s">
        <v>32</v>
      </c>
      <c r="I32" s="13" t="s">
        <v>473</v>
      </c>
      <c r="J32" s="13" t="s">
        <v>474</v>
      </c>
      <c r="K32" s="14" t="s">
        <v>39</v>
      </c>
      <c r="L32" s="14">
        <v>6</v>
      </c>
      <c r="M32" s="14" t="s">
        <v>155</v>
      </c>
      <c r="N32" s="12">
        <f t="shared" si="0"/>
        <v>0</v>
      </c>
      <c r="O32" s="5">
        <f t="shared" si="1"/>
        <v>0</v>
      </c>
      <c r="P32" s="15">
        <v>3</v>
      </c>
      <c r="Q32" s="15">
        <v>3</v>
      </c>
      <c r="R32" s="15">
        <v>2</v>
      </c>
      <c r="S32" s="15">
        <v>3</v>
      </c>
      <c r="T32" s="15">
        <v>3</v>
      </c>
      <c r="U32" s="12" t="s">
        <v>475</v>
      </c>
    </row>
    <row r="33" spans="1:21" ht="247.5" customHeight="1" x14ac:dyDescent="0.25">
      <c r="A33" s="12">
        <v>1873</v>
      </c>
      <c r="B33" s="12">
        <v>1</v>
      </c>
      <c r="C33" s="12">
        <v>6</v>
      </c>
      <c r="D33" s="12" t="s">
        <v>21</v>
      </c>
      <c r="E33" s="2" t="s">
        <v>157</v>
      </c>
      <c r="F33" s="13" t="b">
        <f>FALSE()</f>
        <v>0</v>
      </c>
      <c r="G33" s="13">
        <v>5</v>
      </c>
      <c r="H33" s="13" t="s">
        <v>23</v>
      </c>
      <c r="I33" s="13" t="s">
        <v>476</v>
      </c>
      <c r="J33" s="13" t="s">
        <v>477</v>
      </c>
      <c r="K33" s="14" t="s">
        <v>23</v>
      </c>
      <c r="L33" s="14">
        <v>6</v>
      </c>
      <c r="M33" s="14" t="s">
        <v>160</v>
      </c>
      <c r="N33" s="12">
        <f t="shared" si="0"/>
        <v>1</v>
      </c>
      <c r="O33" s="5">
        <f t="shared" si="1"/>
        <v>0</v>
      </c>
      <c r="P33" s="15">
        <v>1</v>
      </c>
      <c r="Q33" s="15">
        <v>5</v>
      </c>
      <c r="R33" s="15">
        <v>1</v>
      </c>
      <c r="S33" s="15">
        <v>4</v>
      </c>
      <c r="T33" s="15">
        <v>3</v>
      </c>
      <c r="U33" s="12" t="s">
        <v>478</v>
      </c>
    </row>
    <row r="34" spans="1:21" ht="247.5" customHeight="1" x14ac:dyDescent="0.25">
      <c r="A34" s="12">
        <v>1873</v>
      </c>
      <c r="B34" s="12">
        <v>1</v>
      </c>
      <c r="C34" s="12">
        <v>7</v>
      </c>
      <c r="D34" s="12" t="s">
        <v>21</v>
      </c>
      <c r="E34" s="2" t="s">
        <v>161</v>
      </c>
      <c r="F34" s="13" t="b">
        <f>FALSE()</f>
        <v>0</v>
      </c>
      <c r="G34" s="13">
        <v>5</v>
      </c>
      <c r="H34" s="13" t="s">
        <v>23</v>
      </c>
      <c r="I34" s="13" t="s">
        <v>479</v>
      </c>
      <c r="J34" s="13" t="s">
        <v>480</v>
      </c>
      <c r="K34" s="14" t="s">
        <v>23</v>
      </c>
      <c r="L34" s="14">
        <v>6</v>
      </c>
      <c r="M34" s="14" t="s">
        <v>160</v>
      </c>
      <c r="N34" s="12">
        <f t="shared" ref="N34:N51" si="2">IF(AND(H34&lt;&gt;"",K34&lt;&gt;""),IF(H34=K34,1,0),"")</f>
        <v>1</v>
      </c>
      <c r="O34" s="5">
        <f t="shared" ref="O34:O51" si="3">IF(OR(K34="",K34="Nenhum (código correto)",L34=""),"",IF(G34="","",IF(G34=L34,1,0)))</f>
        <v>0</v>
      </c>
      <c r="P34" s="15">
        <v>3</v>
      </c>
      <c r="Q34" s="15">
        <v>4</v>
      </c>
      <c r="R34" s="15">
        <v>3</v>
      </c>
      <c r="S34" s="15">
        <v>4</v>
      </c>
      <c r="T34" s="15">
        <v>3</v>
      </c>
      <c r="U34" s="12" t="s">
        <v>481</v>
      </c>
    </row>
    <row r="35" spans="1:21" ht="247.5" customHeight="1" x14ac:dyDescent="0.25">
      <c r="A35" s="12">
        <v>1873</v>
      </c>
      <c r="B35" s="12">
        <v>1</v>
      </c>
      <c r="C35" s="12">
        <v>8</v>
      </c>
      <c r="D35" s="12" t="s">
        <v>55</v>
      </c>
      <c r="E35" s="2" t="s">
        <v>164</v>
      </c>
      <c r="F35" s="13" t="b">
        <f>TRUE()</f>
        <v>1</v>
      </c>
      <c r="G35" s="13" t="s">
        <v>57</v>
      </c>
      <c r="H35" s="13" t="s">
        <v>58</v>
      </c>
      <c r="I35" s="13" t="s">
        <v>482</v>
      </c>
      <c r="J35" s="13" t="s">
        <v>483</v>
      </c>
      <c r="K35" s="14" t="s">
        <v>58</v>
      </c>
      <c r="L35" s="14"/>
      <c r="M35" s="14" t="s">
        <v>119</v>
      </c>
      <c r="N35" s="12">
        <f t="shared" si="2"/>
        <v>1</v>
      </c>
      <c r="O35" s="5" t="str">
        <f t="shared" si="3"/>
        <v/>
      </c>
      <c r="P35" s="15">
        <v>5</v>
      </c>
      <c r="Q35" s="15">
        <v>5</v>
      </c>
      <c r="R35" s="15">
        <v>2</v>
      </c>
      <c r="S35" s="15">
        <v>5</v>
      </c>
      <c r="T35" s="15">
        <v>5</v>
      </c>
      <c r="U35" s="12" t="s">
        <v>424</v>
      </c>
    </row>
    <row r="36" spans="1:21" ht="270" customHeight="1" x14ac:dyDescent="0.25">
      <c r="A36" s="12">
        <v>1873</v>
      </c>
      <c r="B36" s="12">
        <v>2</v>
      </c>
      <c r="C36" s="12">
        <v>1</v>
      </c>
      <c r="D36" s="12" t="s">
        <v>21</v>
      </c>
      <c r="E36" s="2" t="s">
        <v>168</v>
      </c>
      <c r="F36" s="13" t="b">
        <f>FALSE()</f>
        <v>0</v>
      </c>
      <c r="G36" s="13">
        <v>7</v>
      </c>
      <c r="H36" s="13" t="s">
        <v>23</v>
      </c>
      <c r="I36" s="13" t="s">
        <v>484</v>
      </c>
      <c r="J36" s="13" t="s">
        <v>485</v>
      </c>
      <c r="K36" s="14" t="s">
        <v>23</v>
      </c>
      <c r="L36" s="14">
        <v>11</v>
      </c>
      <c r="M36" s="14" t="s">
        <v>171</v>
      </c>
      <c r="N36" s="12">
        <f t="shared" si="2"/>
        <v>1</v>
      </c>
      <c r="O36" s="5">
        <f t="shared" si="3"/>
        <v>0</v>
      </c>
      <c r="P36" s="15">
        <v>1</v>
      </c>
      <c r="Q36" s="15">
        <v>5</v>
      </c>
      <c r="R36" s="15">
        <v>1</v>
      </c>
      <c r="S36" s="15">
        <v>5</v>
      </c>
      <c r="T36" s="15">
        <v>3</v>
      </c>
      <c r="U36" s="12" t="s">
        <v>486</v>
      </c>
    </row>
    <row r="37" spans="1:21" ht="270" customHeight="1" x14ac:dyDescent="0.25">
      <c r="A37" s="12">
        <v>1873</v>
      </c>
      <c r="B37" s="12">
        <v>2</v>
      </c>
      <c r="C37" s="12">
        <v>2</v>
      </c>
      <c r="D37" s="12" t="s">
        <v>21</v>
      </c>
      <c r="E37" s="2" t="s">
        <v>172</v>
      </c>
      <c r="F37" s="13" t="b">
        <f>FALSE()</f>
        <v>0</v>
      </c>
      <c r="G37" s="13">
        <v>15</v>
      </c>
      <c r="H37" s="13" t="s">
        <v>23</v>
      </c>
      <c r="I37" s="13" t="s">
        <v>487</v>
      </c>
      <c r="J37" s="13" t="s">
        <v>488</v>
      </c>
      <c r="K37" s="14" t="s">
        <v>39</v>
      </c>
      <c r="L37" s="14">
        <v>24</v>
      </c>
      <c r="M37" s="14" t="s">
        <v>175</v>
      </c>
      <c r="N37" s="12">
        <f t="shared" si="2"/>
        <v>0</v>
      </c>
      <c r="O37" s="5">
        <f t="shared" si="3"/>
        <v>0</v>
      </c>
      <c r="P37" s="15">
        <v>1</v>
      </c>
      <c r="Q37" s="15">
        <v>5</v>
      </c>
      <c r="R37" s="15">
        <v>1</v>
      </c>
      <c r="S37" s="15">
        <v>5</v>
      </c>
      <c r="T37" s="15">
        <v>3</v>
      </c>
      <c r="U37" s="12" t="s">
        <v>489</v>
      </c>
    </row>
    <row r="38" spans="1:21" ht="270" customHeight="1" x14ac:dyDescent="0.25">
      <c r="A38" s="12">
        <v>1873</v>
      </c>
      <c r="B38" s="12">
        <v>2</v>
      </c>
      <c r="C38" s="12">
        <v>3</v>
      </c>
      <c r="D38" s="12" t="s">
        <v>176</v>
      </c>
      <c r="E38" s="2" t="s">
        <v>177</v>
      </c>
      <c r="F38" s="13" t="b">
        <f>FALSE()</f>
        <v>0</v>
      </c>
      <c r="G38" s="13">
        <v>14</v>
      </c>
      <c r="H38" s="13" t="s">
        <v>32</v>
      </c>
      <c r="I38" s="13" t="s">
        <v>490</v>
      </c>
      <c r="J38" s="13" t="s">
        <v>491</v>
      </c>
      <c r="K38" s="14" t="s">
        <v>39</v>
      </c>
      <c r="L38" s="14">
        <v>14</v>
      </c>
      <c r="M38" s="14" t="s">
        <v>180</v>
      </c>
      <c r="N38" s="12">
        <f t="shared" si="2"/>
        <v>0</v>
      </c>
      <c r="O38" s="5">
        <f t="shared" si="3"/>
        <v>1</v>
      </c>
      <c r="P38" s="15">
        <v>2</v>
      </c>
      <c r="Q38" s="15">
        <v>4</v>
      </c>
      <c r="R38" s="15">
        <v>2</v>
      </c>
      <c r="S38" s="15">
        <v>4</v>
      </c>
      <c r="T38" s="15">
        <v>3</v>
      </c>
      <c r="U38" s="12" t="s">
        <v>492</v>
      </c>
    </row>
    <row r="39" spans="1:21" ht="270" customHeight="1" x14ac:dyDescent="0.25">
      <c r="A39" s="12">
        <v>1873</v>
      </c>
      <c r="B39" s="12">
        <v>2</v>
      </c>
      <c r="C39" s="12">
        <v>4</v>
      </c>
      <c r="D39" s="12" t="s">
        <v>176</v>
      </c>
      <c r="E39" s="2" t="s">
        <v>181</v>
      </c>
      <c r="F39" s="13" t="b">
        <f>FALSE()</f>
        <v>0</v>
      </c>
      <c r="G39" s="13">
        <v>12</v>
      </c>
      <c r="H39" s="13" t="s">
        <v>32</v>
      </c>
      <c r="I39" s="13" t="s">
        <v>493</v>
      </c>
      <c r="J39" s="13" t="s">
        <v>494</v>
      </c>
      <c r="K39" s="14" t="s">
        <v>39</v>
      </c>
      <c r="L39" s="14">
        <v>14</v>
      </c>
      <c r="M39" s="14" t="s">
        <v>184</v>
      </c>
      <c r="N39" s="12">
        <f t="shared" si="2"/>
        <v>0</v>
      </c>
      <c r="O39" s="5">
        <f t="shared" si="3"/>
        <v>0</v>
      </c>
      <c r="P39" s="15">
        <v>1</v>
      </c>
      <c r="Q39" s="15">
        <v>4</v>
      </c>
      <c r="R39" s="15">
        <v>1</v>
      </c>
      <c r="S39" s="15">
        <v>4</v>
      </c>
      <c r="T39" s="15">
        <v>3</v>
      </c>
      <c r="U39" s="12" t="s">
        <v>495</v>
      </c>
    </row>
    <row r="40" spans="1:21" ht="270" customHeight="1" x14ac:dyDescent="0.25">
      <c r="A40" s="12">
        <v>1873</v>
      </c>
      <c r="B40" s="12">
        <v>2</v>
      </c>
      <c r="C40" s="12">
        <v>5</v>
      </c>
      <c r="D40" s="12" t="s">
        <v>176</v>
      </c>
      <c r="E40" s="2" t="s">
        <v>177</v>
      </c>
      <c r="F40" s="13" t="b">
        <f>FALSE()</f>
        <v>0</v>
      </c>
      <c r="G40" s="13">
        <v>12</v>
      </c>
      <c r="H40" s="13" t="s">
        <v>32</v>
      </c>
      <c r="I40" s="13" t="s">
        <v>496</v>
      </c>
      <c r="J40" s="13" t="s">
        <v>497</v>
      </c>
      <c r="K40" s="14" t="s">
        <v>39</v>
      </c>
      <c r="L40" s="14">
        <v>14</v>
      </c>
      <c r="M40" s="14" t="s">
        <v>184</v>
      </c>
      <c r="N40" s="12">
        <f t="shared" si="2"/>
        <v>0</v>
      </c>
      <c r="O40" s="5">
        <f t="shared" si="3"/>
        <v>0</v>
      </c>
      <c r="P40" s="15">
        <v>2</v>
      </c>
      <c r="Q40" s="15">
        <v>4</v>
      </c>
      <c r="R40" s="15">
        <v>2</v>
      </c>
      <c r="S40" s="15">
        <v>4</v>
      </c>
      <c r="T40" s="15">
        <v>3</v>
      </c>
      <c r="U40" s="12" t="s">
        <v>498</v>
      </c>
    </row>
    <row r="41" spans="1:21" ht="270" customHeight="1" x14ac:dyDescent="0.25">
      <c r="A41" s="12">
        <v>1873</v>
      </c>
      <c r="B41" s="12">
        <v>2</v>
      </c>
      <c r="C41" s="12">
        <v>6</v>
      </c>
      <c r="D41" s="12" t="s">
        <v>176</v>
      </c>
      <c r="E41" s="2" t="s">
        <v>181</v>
      </c>
      <c r="F41" s="13" t="b">
        <f>FALSE()</f>
        <v>0</v>
      </c>
      <c r="G41" s="13">
        <v>13</v>
      </c>
      <c r="H41" s="13" t="s">
        <v>32</v>
      </c>
      <c r="I41" s="13" t="s">
        <v>499</v>
      </c>
      <c r="J41" s="13" t="s">
        <v>500</v>
      </c>
      <c r="K41" s="14" t="s">
        <v>39</v>
      </c>
      <c r="L41" s="14">
        <v>14</v>
      </c>
      <c r="M41" s="14" t="s">
        <v>184</v>
      </c>
      <c r="N41" s="12">
        <f t="shared" si="2"/>
        <v>0</v>
      </c>
      <c r="O41" s="5">
        <f t="shared" si="3"/>
        <v>0</v>
      </c>
      <c r="P41" s="15">
        <v>2</v>
      </c>
      <c r="Q41" s="15">
        <v>4</v>
      </c>
      <c r="R41" s="15">
        <v>2</v>
      </c>
      <c r="S41" s="15">
        <v>4</v>
      </c>
      <c r="T41" s="15">
        <v>3</v>
      </c>
      <c r="U41" s="12" t="s">
        <v>501</v>
      </c>
    </row>
    <row r="42" spans="1:21" ht="270" customHeight="1" x14ac:dyDescent="0.25">
      <c r="A42" s="12">
        <v>1873</v>
      </c>
      <c r="B42" s="12">
        <v>2</v>
      </c>
      <c r="C42" s="12">
        <v>7</v>
      </c>
      <c r="D42" s="12" t="s">
        <v>176</v>
      </c>
      <c r="E42" s="2" t="s">
        <v>177</v>
      </c>
      <c r="F42" s="13" t="b">
        <f>FALSE()</f>
        <v>0</v>
      </c>
      <c r="G42" s="13">
        <v>12</v>
      </c>
      <c r="H42" s="13" t="s">
        <v>32</v>
      </c>
      <c r="I42" s="13" t="s">
        <v>502</v>
      </c>
      <c r="J42" s="13" t="s">
        <v>503</v>
      </c>
      <c r="K42" s="14" t="s">
        <v>39</v>
      </c>
      <c r="L42" s="14">
        <v>14</v>
      </c>
      <c r="M42" s="14" t="s">
        <v>184</v>
      </c>
      <c r="N42" s="12">
        <f t="shared" si="2"/>
        <v>0</v>
      </c>
      <c r="O42" s="5">
        <f t="shared" si="3"/>
        <v>0</v>
      </c>
      <c r="P42" s="15">
        <v>2</v>
      </c>
      <c r="Q42" s="15">
        <v>4</v>
      </c>
      <c r="R42" s="15">
        <v>2</v>
      </c>
      <c r="S42" s="15">
        <v>4</v>
      </c>
      <c r="T42" s="15">
        <v>3</v>
      </c>
      <c r="U42" s="12" t="s">
        <v>501</v>
      </c>
    </row>
    <row r="43" spans="1:21" ht="270" customHeight="1" x14ac:dyDescent="0.25">
      <c r="A43" s="12">
        <v>1873</v>
      </c>
      <c r="B43" s="12">
        <v>2</v>
      </c>
      <c r="C43" s="12">
        <v>8</v>
      </c>
      <c r="D43" s="12" t="s">
        <v>55</v>
      </c>
      <c r="E43" s="2" t="s">
        <v>193</v>
      </c>
      <c r="F43" s="13" t="b">
        <f>FALSE()</f>
        <v>0</v>
      </c>
      <c r="G43" s="13">
        <v>14</v>
      </c>
      <c r="H43" s="13" t="s">
        <v>32</v>
      </c>
      <c r="I43" s="13" t="s">
        <v>504</v>
      </c>
      <c r="J43" s="13" t="s">
        <v>505</v>
      </c>
      <c r="K43" s="14" t="s">
        <v>39</v>
      </c>
      <c r="L43" s="14">
        <v>14</v>
      </c>
      <c r="M43" s="14" t="s">
        <v>196</v>
      </c>
      <c r="N43" s="12">
        <f t="shared" si="2"/>
        <v>0</v>
      </c>
      <c r="O43" s="5">
        <f t="shared" si="3"/>
        <v>1</v>
      </c>
      <c r="P43" s="15">
        <v>1</v>
      </c>
      <c r="Q43" s="15">
        <v>3</v>
      </c>
      <c r="R43" s="15">
        <v>1</v>
      </c>
      <c r="S43" s="15">
        <v>4</v>
      </c>
      <c r="T43" s="15">
        <v>3</v>
      </c>
      <c r="U43" s="12" t="s">
        <v>506</v>
      </c>
    </row>
    <row r="44" spans="1:21" ht="213.75" customHeight="1" x14ac:dyDescent="0.25">
      <c r="A44" s="12">
        <v>1873</v>
      </c>
      <c r="B44" s="12">
        <v>3</v>
      </c>
      <c r="C44" s="12">
        <v>1</v>
      </c>
      <c r="D44" s="12" t="s">
        <v>55</v>
      </c>
      <c r="E44" s="2" t="s">
        <v>198</v>
      </c>
      <c r="F44" s="13" t="b">
        <f>TRUE()</f>
        <v>1</v>
      </c>
      <c r="G44" s="13" t="s">
        <v>57</v>
      </c>
      <c r="H44" s="13" t="s">
        <v>58</v>
      </c>
      <c r="I44" s="13" t="s">
        <v>507</v>
      </c>
      <c r="J44" s="13" t="s">
        <v>508</v>
      </c>
      <c r="K44" s="14" t="s">
        <v>58</v>
      </c>
      <c r="L44" s="14"/>
      <c r="M44" s="14" t="s">
        <v>119</v>
      </c>
      <c r="N44" s="12">
        <f t="shared" si="2"/>
        <v>1</v>
      </c>
      <c r="O44" s="5" t="str">
        <f t="shared" si="3"/>
        <v/>
      </c>
      <c r="P44" s="15">
        <v>5</v>
      </c>
      <c r="Q44" s="15">
        <v>5</v>
      </c>
      <c r="R44" s="15">
        <v>2</v>
      </c>
      <c r="S44" s="15">
        <v>5</v>
      </c>
      <c r="T44" s="15">
        <v>5</v>
      </c>
      <c r="U44" s="12" t="s">
        <v>424</v>
      </c>
    </row>
    <row r="45" spans="1:21" ht="135.75" customHeight="1" x14ac:dyDescent="0.25">
      <c r="A45" s="12">
        <v>1132</v>
      </c>
      <c r="B45" s="12">
        <v>901</v>
      </c>
      <c r="C45" s="12">
        <v>1</v>
      </c>
      <c r="D45" s="12" t="s">
        <v>30</v>
      </c>
      <c r="E45" s="2" t="s">
        <v>201</v>
      </c>
      <c r="F45" s="13" t="b">
        <f>FALSE()</f>
        <v>0</v>
      </c>
      <c r="G45" s="13">
        <v>8</v>
      </c>
      <c r="H45" s="13" t="s">
        <v>32</v>
      </c>
      <c r="I45" s="13" t="s">
        <v>509</v>
      </c>
      <c r="J45" s="13" t="s">
        <v>510</v>
      </c>
      <c r="K45" s="14" t="s">
        <v>32</v>
      </c>
      <c r="L45" s="14">
        <v>9</v>
      </c>
      <c r="M45" s="14" t="s">
        <v>204</v>
      </c>
      <c r="N45" s="12">
        <f t="shared" si="2"/>
        <v>1</v>
      </c>
      <c r="O45" s="5">
        <f t="shared" si="3"/>
        <v>0</v>
      </c>
      <c r="P45" s="15">
        <v>1</v>
      </c>
      <c r="Q45" s="15">
        <v>5</v>
      </c>
      <c r="R45" s="15">
        <v>1</v>
      </c>
      <c r="S45" s="15">
        <v>5</v>
      </c>
      <c r="T45" s="15">
        <v>3</v>
      </c>
      <c r="U45" s="12" t="s">
        <v>511</v>
      </c>
    </row>
    <row r="46" spans="1:21" ht="135.75" customHeight="1" x14ac:dyDescent="0.25">
      <c r="A46" s="12">
        <v>1132</v>
      </c>
      <c r="B46" s="12">
        <v>902</v>
      </c>
      <c r="C46" s="12">
        <v>1</v>
      </c>
      <c r="D46" s="12" t="s">
        <v>206</v>
      </c>
      <c r="E46" s="2" t="s">
        <v>207</v>
      </c>
      <c r="F46" s="13" t="b">
        <f>FALSE()</f>
        <v>0</v>
      </c>
      <c r="G46" s="13">
        <v>4</v>
      </c>
      <c r="H46" s="13" t="s">
        <v>23</v>
      </c>
      <c r="I46" s="13" t="s">
        <v>512</v>
      </c>
      <c r="J46" s="13" t="s">
        <v>513</v>
      </c>
      <c r="K46" s="14" t="s">
        <v>23</v>
      </c>
      <c r="L46" s="14">
        <v>4</v>
      </c>
      <c r="M46" s="14" t="s">
        <v>210</v>
      </c>
      <c r="N46" s="12">
        <f t="shared" si="2"/>
        <v>1</v>
      </c>
      <c r="O46" s="5">
        <f t="shared" si="3"/>
        <v>1</v>
      </c>
      <c r="P46" s="15">
        <v>1</v>
      </c>
      <c r="Q46" s="15">
        <v>5</v>
      </c>
      <c r="R46" s="15">
        <v>1</v>
      </c>
      <c r="S46" s="15">
        <v>5</v>
      </c>
      <c r="T46" s="15">
        <v>3</v>
      </c>
      <c r="U46" s="12" t="s">
        <v>514</v>
      </c>
    </row>
    <row r="47" spans="1:21" ht="79.5" customHeight="1" x14ac:dyDescent="0.25">
      <c r="A47" s="12">
        <v>1153</v>
      </c>
      <c r="B47" s="12">
        <v>903</v>
      </c>
      <c r="C47" s="12">
        <v>1</v>
      </c>
      <c r="D47" s="12" t="s">
        <v>30</v>
      </c>
      <c r="E47" s="2" t="s">
        <v>212</v>
      </c>
      <c r="F47" s="13" t="b">
        <f>FALSE()</f>
        <v>0</v>
      </c>
      <c r="G47" s="13">
        <v>3</v>
      </c>
      <c r="H47" s="13" t="s">
        <v>32</v>
      </c>
      <c r="I47" s="13" t="s">
        <v>515</v>
      </c>
      <c r="J47" s="13" t="s">
        <v>516</v>
      </c>
      <c r="K47" s="14" t="s">
        <v>32</v>
      </c>
      <c r="L47" s="14">
        <v>2</v>
      </c>
      <c r="M47" s="14" t="s">
        <v>215</v>
      </c>
      <c r="N47" s="12">
        <f t="shared" si="2"/>
        <v>1</v>
      </c>
      <c r="O47" s="5">
        <f t="shared" si="3"/>
        <v>0</v>
      </c>
      <c r="P47" s="15">
        <v>1</v>
      </c>
      <c r="Q47" s="15">
        <v>5</v>
      </c>
      <c r="R47" s="15">
        <v>1</v>
      </c>
      <c r="S47" s="15">
        <v>5</v>
      </c>
      <c r="T47" s="15">
        <v>3</v>
      </c>
      <c r="U47" s="12" t="s">
        <v>517</v>
      </c>
    </row>
    <row r="48" spans="1:21" ht="79.5" customHeight="1" x14ac:dyDescent="0.25">
      <c r="A48" s="12">
        <v>1153</v>
      </c>
      <c r="B48" s="12">
        <v>904</v>
      </c>
      <c r="C48" s="12">
        <v>1</v>
      </c>
      <c r="D48" s="12" t="s">
        <v>30</v>
      </c>
      <c r="E48" s="2" t="s">
        <v>217</v>
      </c>
      <c r="F48" s="13" t="b">
        <f>FALSE()</f>
        <v>0</v>
      </c>
      <c r="G48" s="13">
        <v>3</v>
      </c>
      <c r="H48" s="13" t="s">
        <v>32</v>
      </c>
      <c r="I48" s="13" t="s">
        <v>518</v>
      </c>
      <c r="J48" s="13" t="s">
        <v>519</v>
      </c>
      <c r="K48" s="14" t="s">
        <v>32</v>
      </c>
      <c r="L48" s="14">
        <v>4</v>
      </c>
      <c r="M48" s="14" t="s">
        <v>220</v>
      </c>
      <c r="N48" s="12">
        <f t="shared" si="2"/>
        <v>1</v>
      </c>
      <c r="O48" s="5">
        <f t="shared" si="3"/>
        <v>0</v>
      </c>
      <c r="P48" s="15">
        <v>1</v>
      </c>
      <c r="Q48" s="15">
        <v>5</v>
      </c>
      <c r="R48" s="15">
        <v>1</v>
      </c>
      <c r="S48" s="15">
        <v>5</v>
      </c>
      <c r="T48" s="15">
        <v>3</v>
      </c>
      <c r="U48" s="12" t="s">
        <v>520</v>
      </c>
    </row>
    <row r="49" spans="1:21" ht="225" customHeight="1" x14ac:dyDescent="0.25">
      <c r="A49" s="12">
        <v>1828</v>
      </c>
      <c r="B49" s="12">
        <v>905</v>
      </c>
      <c r="C49" s="12">
        <v>1</v>
      </c>
      <c r="D49" s="12" t="s">
        <v>222</v>
      </c>
      <c r="E49" s="2" t="s">
        <v>223</v>
      </c>
      <c r="F49" s="13" t="b">
        <f>FALSE()</f>
        <v>0</v>
      </c>
      <c r="G49" s="13">
        <v>10</v>
      </c>
      <c r="H49" s="13" t="s">
        <v>32</v>
      </c>
      <c r="I49" s="13" t="s">
        <v>521</v>
      </c>
      <c r="J49" s="13" t="s">
        <v>522</v>
      </c>
      <c r="K49" s="14" t="s">
        <v>32</v>
      </c>
      <c r="L49" s="14">
        <v>7</v>
      </c>
      <c r="M49" s="14" t="s">
        <v>226</v>
      </c>
      <c r="N49" s="12">
        <f t="shared" si="2"/>
        <v>1</v>
      </c>
      <c r="O49" s="5">
        <f t="shared" si="3"/>
        <v>0</v>
      </c>
      <c r="P49" s="15">
        <v>3</v>
      </c>
      <c r="Q49" s="15">
        <v>4</v>
      </c>
      <c r="R49" s="15">
        <v>2</v>
      </c>
      <c r="S49" s="15">
        <v>4</v>
      </c>
      <c r="T49" s="15">
        <v>3</v>
      </c>
      <c r="U49" s="12" t="s">
        <v>523</v>
      </c>
    </row>
    <row r="50" spans="1:21" ht="202.5" customHeight="1" x14ac:dyDescent="0.25">
      <c r="A50" s="12">
        <v>1828</v>
      </c>
      <c r="B50" s="12">
        <v>906</v>
      </c>
      <c r="C50" s="12">
        <v>1</v>
      </c>
      <c r="D50" s="12" t="s">
        <v>21</v>
      </c>
      <c r="E50" s="2" t="s">
        <v>228</v>
      </c>
      <c r="F50" s="13" t="b">
        <f>FALSE()</f>
        <v>0</v>
      </c>
      <c r="G50" s="13">
        <v>8</v>
      </c>
      <c r="H50" s="13" t="s">
        <v>32</v>
      </c>
      <c r="I50" s="13" t="s">
        <v>524</v>
      </c>
      <c r="J50" s="13" t="s">
        <v>525</v>
      </c>
      <c r="K50" s="14" t="s">
        <v>39</v>
      </c>
      <c r="L50" s="14">
        <v>6</v>
      </c>
      <c r="M50" s="14" t="s">
        <v>231</v>
      </c>
      <c r="N50" s="12">
        <f t="shared" si="2"/>
        <v>0</v>
      </c>
      <c r="O50" s="5">
        <f t="shared" si="3"/>
        <v>0</v>
      </c>
      <c r="P50" s="15">
        <v>3</v>
      </c>
      <c r="Q50" s="15">
        <v>4</v>
      </c>
      <c r="R50" s="15">
        <v>2</v>
      </c>
      <c r="S50" s="15">
        <v>4</v>
      </c>
      <c r="T50" s="15">
        <v>3</v>
      </c>
      <c r="U50" s="12" t="s">
        <v>526</v>
      </c>
    </row>
    <row r="51" spans="1:21" ht="225" customHeight="1" x14ac:dyDescent="0.25">
      <c r="A51" s="12">
        <v>1873</v>
      </c>
      <c r="B51" s="12">
        <v>907</v>
      </c>
      <c r="C51" s="12">
        <v>1</v>
      </c>
      <c r="D51" s="12" t="s">
        <v>233</v>
      </c>
      <c r="E51" s="2" t="s">
        <v>234</v>
      </c>
      <c r="F51" s="13" t="b">
        <f>TRUE()</f>
        <v>1</v>
      </c>
      <c r="G51" s="13" t="s">
        <v>57</v>
      </c>
      <c r="H51" s="13" t="s">
        <v>58</v>
      </c>
      <c r="I51" s="13" t="s">
        <v>527</v>
      </c>
      <c r="J51" s="13" t="s">
        <v>528</v>
      </c>
      <c r="K51" s="14" t="s">
        <v>32</v>
      </c>
      <c r="L51" s="14">
        <v>19</v>
      </c>
      <c r="M51" s="14" t="s">
        <v>237</v>
      </c>
      <c r="N51" s="12">
        <f t="shared" si="2"/>
        <v>0</v>
      </c>
      <c r="O51" s="5">
        <f t="shared" si="3"/>
        <v>0</v>
      </c>
      <c r="P51" s="15">
        <v>5</v>
      </c>
      <c r="Q51" s="15">
        <v>5</v>
      </c>
      <c r="R51" s="15">
        <v>1</v>
      </c>
      <c r="S51" s="15">
        <v>5</v>
      </c>
      <c r="T51" s="15">
        <v>5</v>
      </c>
      <c r="U51" s="12" t="s">
        <v>529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51"/>
  <sheetViews>
    <sheetView zoomScaleNormal="100" workbookViewId="0">
      <pane xSplit="5" ySplit="1" topLeftCell="F43" activePane="bottomRight" state="frozen"/>
      <selection pane="topRight" activeCell="F1" sqref="F1"/>
      <selection pane="bottomLeft" activeCell="A43" sqref="A43"/>
      <selection pane="bottomRight" activeCell="F50" sqref="F50"/>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530</v>
      </c>
      <c r="G1" s="1" t="s">
        <v>531</v>
      </c>
      <c r="H1" s="1" t="s">
        <v>532</v>
      </c>
      <c r="I1" s="1" t="s">
        <v>533</v>
      </c>
      <c r="J1" s="1" t="s">
        <v>534</v>
      </c>
      <c r="K1" s="1" t="s">
        <v>10</v>
      </c>
      <c r="L1" s="1" t="s">
        <v>11</v>
      </c>
      <c r="M1" s="1" t="s">
        <v>12</v>
      </c>
      <c r="N1" s="1" t="s">
        <v>13</v>
      </c>
      <c r="O1" s="1" t="s">
        <v>14</v>
      </c>
      <c r="P1" s="1" t="s">
        <v>15</v>
      </c>
      <c r="Q1" s="1" t="s">
        <v>16</v>
      </c>
      <c r="R1" s="1" t="s">
        <v>17</v>
      </c>
      <c r="S1" s="1" t="s">
        <v>18</v>
      </c>
      <c r="T1" s="1" t="s">
        <v>19</v>
      </c>
      <c r="U1" s="1" t="s">
        <v>20</v>
      </c>
    </row>
    <row r="2" spans="1:21" ht="102" customHeight="1" x14ac:dyDescent="0.25">
      <c r="A2" s="12">
        <v>1132</v>
      </c>
      <c r="B2" s="12">
        <v>1</v>
      </c>
      <c r="C2" s="12">
        <v>1</v>
      </c>
      <c r="D2" s="12" t="s">
        <v>21</v>
      </c>
      <c r="E2" s="2" t="s">
        <v>22</v>
      </c>
      <c r="F2" s="13" t="b">
        <f>FALSE()</f>
        <v>0</v>
      </c>
      <c r="G2" s="13">
        <v>5</v>
      </c>
      <c r="H2" s="13" t="s">
        <v>23</v>
      </c>
      <c r="I2" s="13" t="s">
        <v>535</v>
      </c>
      <c r="J2" s="13" t="s">
        <v>536</v>
      </c>
      <c r="K2" s="14" t="s">
        <v>23</v>
      </c>
      <c r="L2" s="14">
        <v>6</v>
      </c>
      <c r="M2" s="14" t="s">
        <v>26</v>
      </c>
      <c r="N2" s="12">
        <f t="shared" ref="N2:N33" si="0">IF(AND(H2&lt;&gt;"",K2&lt;&gt;""),IF(H2=K2,1,0),"")</f>
        <v>1</v>
      </c>
      <c r="O2" s="5">
        <f t="shared" ref="O2:O33" si="1">IF(OR(K2="",K2="Nenhum (código correto)",L2=""),"",IF(G2="","",IF(G2=L2,1,0)))</f>
        <v>0</v>
      </c>
      <c r="P2" s="15">
        <v>3</v>
      </c>
      <c r="Q2" s="15">
        <v>5</v>
      </c>
      <c r="R2" s="15">
        <v>5</v>
      </c>
      <c r="S2" s="15">
        <v>5</v>
      </c>
      <c r="T2" s="15">
        <v>3</v>
      </c>
      <c r="U2" s="12" t="s">
        <v>537</v>
      </c>
    </row>
    <row r="3" spans="1:21" ht="102" customHeight="1" x14ac:dyDescent="0.25">
      <c r="A3" s="12">
        <v>1132</v>
      </c>
      <c r="B3" s="12">
        <v>1</v>
      </c>
      <c r="C3" s="12">
        <v>2</v>
      </c>
      <c r="D3" s="12" t="s">
        <v>21</v>
      </c>
      <c r="E3" s="2" t="s">
        <v>27</v>
      </c>
      <c r="F3" s="13" t="b">
        <f>FALSE()</f>
        <v>0</v>
      </c>
      <c r="G3" s="13">
        <v>5</v>
      </c>
      <c r="H3" s="13" t="s">
        <v>23</v>
      </c>
      <c r="I3" s="13" t="s">
        <v>538</v>
      </c>
      <c r="J3" s="13" t="s">
        <v>539</v>
      </c>
      <c r="K3" s="14" t="s">
        <v>23</v>
      </c>
      <c r="L3" s="14">
        <v>6</v>
      </c>
      <c r="M3" s="14" t="s">
        <v>26</v>
      </c>
      <c r="N3" s="12">
        <f t="shared" si="0"/>
        <v>1</v>
      </c>
      <c r="O3" s="5">
        <f t="shared" si="1"/>
        <v>0</v>
      </c>
      <c r="P3" s="15">
        <v>1</v>
      </c>
      <c r="Q3" s="15">
        <v>5</v>
      </c>
      <c r="R3" s="15">
        <v>3</v>
      </c>
      <c r="S3" s="15">
        <v>5</v>
      </c>
      <c r="T3" s="15">
        <v>3</v>
      </c>
      <c r="U3" s="12" t="s">
        <v>540</v>
      </c>
    </row>
    <row r="4" spans="1:21" ht="113.25" customHeight="1" x14ac:dyDescent="0.25">
      <c r="A4" s="12">
        <v>1132</v>
      </c>
      <c r="B4" s="12">
        <v>1</v>
      </c>
      <c r="C4" s="12">
        <v>3</v>
      </c>
      <c r="D4" s="12" t="s">
        <v>30</v>
      </c>
      <c r="E4" s="2" t="s">
        <v>31</v>
      </c>
      <c r="F4" s="13" t="b">
        <f>FALSE()</f>
        <v>0</v>
      </c>
      <c r="G4" s="13">
        <v>3</v>
      </c>
      <c r="H4" s="13" t="s">
        <v>23</v>
      </c>
      <c r="I4" s="13" t="s">
        <v>541</v>
      </c>
      <c r="J4" s="13" t="s">
        <v>542</v>
      </c>
      <c r="K4" s="14" t="s">
        <v>32</v>
      </c>
      <c r="L4" s="14">
        <v>7</v>
      </c>
      <c r="M4" s="14" t="s">
        <v>35</v>
      </c>
      <c r="N4" s="12">
        <f t="shared" si="0"/>
        <v>0</v>
      </c>
      <c r="O4" s="5">
        <f t="shared" si="1"/>
        <v>0</v>
      </c>
      <c r="P4" s="15">
        <v>4</v>
      </c>
      <c r="Q4" s="15">
        <v>5</v>
      </c>
      <c r="R4" s="15">
        <v>4</v>
      </c>
      <c r="S4" s="15">
        <v>4</v>
      </c>
      <c r="T4" s="15">
        <v>3</v>
      </c>
      <c r="U4" s="12" t="s">
        <v>543</v>
      </c>
    </row>
    <row r="5" spans="1:21" ht="102" customHeight="1" x14ac:dyDescent="0.25">
      <c r="A5" s="12">
        <v>1132</v>
      </c>
      <c r="B5" s="12">
        <v>1</v>
      </c>
      <c r="C5" s="12">
        <v>4</v>
      </c>
      <c r="D5" s="12" t="s">
        <v>21</v>
      </c>
      <c r="E5" s="2" t="s">
        <v>36</v>
      </c>
      <c r="F5" s="13" t="b">
        <f>FALSE()</f>
        <v>0</v>
      </c>
      <c r="G5" s="13">
        <v>3</v>
      </c>
      <c r="H5" s="13" t="s">
        <v>23</v>
      </c>
      <c r="I5" s="13" t="s">
        <v>544</v>
      </c>
      <c r="J5" s="13" t="s">
        <v>545</v>
      </c>
      <c r="K5" s="14" t="s">
        <v>39</v>
      </c>
      <c r="L5" s="14">
        <v>3</v>
      </c>
      <c r="M5" s="14" t="s">
        <v>40</v>
      </c>
      <c r="N5" s="12">
        <f t="shared" si="0"/>
        <v>0</v>
      </c>
      <c r="O5" s="5">
        <f t="shared" si="1"/>
        <v>1</v>
      </c>
      <c r="P5" s="15">
        <v>5</v>
      </c>
      <c r="Q5" s="15">
        <v>5</v>
      </c>
      <c r="R5" s="15">
        <v>5</v>
      </c>
      <c r="S5" s="15">
        <v>5</v>
      </c>
      <c r="T5" s="15">
        <v>3</v>
      </c>
      <c r="U5" s="12" t="s">
        <v>546</v>
      </c>
    </row>
    <row r="6" spans="1:21" ht="102" customHeight="1" x14ac:dyDescent="0.25">
      <c r="A6" s="12">
        <v>1132</v>
      </c>
      <c r="B6" s="12">
        <v>1</v>
      </c>
      <c r="C6" s="12">
        <v>5</v>
      </c>
      <c r="D6" s="12" t="s">
        <v>21</v>
      </c>
      <c r="E6" s="2" t="s">
        <v>42</v>
      </c>
      <c r="F6" s="13" t="b">
        <f>FALSE()</f>
        <v>0</v>
      </c>
      <c r="G6" s="13">
        <v>3</v>
      </c>
      <c r="H6" s="13" t="s">
        <v>23</v>
      </c>
      <c r="I6" s="13" t="s">
        <v>547</v>
      </c>
      <c r="J6" s="13" t="s">
        <v>548</v>
      </c>
      <c r="K6" s="14" t="s">
        <v>39</v>
      </c>
      <c r="L6" s="14">
        <v>3</v>
      </c>
      <c r="M6" s="14" t="s">
        <v>40</v>
      </c>
      <c r="N6" s="12">
        <f t="shared" si="0"/>
        <v>0</v>
      </c>
      <c r="O6" s="5">
        <f t="shared" si="1"/>
        <v>1</v>
      </c>
      <c r="P6" s="15">
        <v>5</v>
      </c>
      <c r="Q6" s="15">
        <v>5</v>
      </c>
      <c r="R6" s="15">
        <v>5</v>
      </c>
      <c r="S6" s="15">
        <v>5</v>
      </c>
      <c r="T6" s="15">
        <v>3</v>
      </c>
      <c r="U6" s="12" t="s">
        <v>549</v>
      </c>
    </row>
    <row r="7" spans="1:21" ht="102" customHeight="1" x14ac:dyDescent="0.25">
      <c r="A7" s="12">
        <v>1132</v>
      </c>
      <c r="B7" s="12">
        <v>1</v>
      </c>
      <c r="C7" s="12">
        <v>6</v>
      </c>
      <c r="D7" s="12" t="s">
        <v>21</v>
      </c>
      <c r="E7" s="2" t="s">
        <v>46</v>
      </c>
      <c r="F7" s="13" t="b">
        <f>FALSE()</f>
        <v>0</v>
      </c>
      <c r="G7" s="13">
        <v>3</v>
      </c>
      <c r="H7" s="13" t="s">
        <v>23</v>
      </c>
      <c r="I7" s="13" t="s">
        <v>550</v>
      </c>
      <c r="J7" s="13" t="s">
        <v>551</v>
      </c>
      <c r="K7" s="14" t="s">
        <v>39</v>
      </c>
      <c r="L7" s="14">
        <v>3</v>
      </c>
      <c r="M7" s="14" t="s">
        <v>49</v>
      </c>
      <c r="N7" s="12">
        <f t="shared" si="0"/>
        <v>0</v>
      </c>
      <c r="O7" s="5">
        <f t="shared" si="1"/>
        <v>1</v>
      </c>
      <c r="P7" s="15">
        <v>5</v>
      </c>
      <c r="Q7" s="15">
        <v>5</v>
      </c>
      <c r="R7" s="15">
        <v>5</v>
      </c>
      <c r="S7" s="15">
        <v>5</v>
      </c>
      <c r="T7" s="15">
        <v>4</v>
      </c>
      <c r="U7" s="12" t="s">
        <v>552</v>
      </c>
    </row>
    <row r="8" spans="1:21" ht="113.25" customHeight="1" x14ac:dyDescent="0.25">
      <c r="A8" s="12">
        <v>1132</v>
      </c>
      <c r="B8" s="12">
        <v>1</v>
      </c>
      <c r="C8" s="12">
        <v>7</v>
      </c>
      <c r="D8" s="12" t="s">
        <v>30</v>
      </c>
      <c r="E8" s="2" t="s">
        <v>51</v>
      </c>
      <c r="F8" s="13" t="b">
        <f>FALSE()</f>
        <v>0</v>
      </c>
      <c r="G8" s="13">
        <v>1</v>
      </c>
      <c r="H8" s="13" t="s">
        <v>23</v>
      </c>
      <c r="I8" s="13" t="s">
        <v>553</v>
      </c>
      <c r="J8" s="13" t="s">
        <v>554</v>
      </c>
      <c r="K8" s="14" t="s">
        <v>32</v>
      </c>
      <c r="L8" s="14">
        <v>7</v>
      </c>
      <c r="M8" s="14" t="s">
        <v>54</v>
      </c>
      <c r="N8" s="12">
        <f t="shared" si="0"/>
        <v>0</v>
      </c>
      <c r="O8" s="5">
        <f t="shared" si="1"/>
        <v>0</v>
      </c>
      <c r="P8" s="15">
        <v>5</v>
      </c>
      <c r="Q8" s="15">
        <v>5</v>
      </c>
      <c r="R8" s="15">
        <v>4</v>
      </c>
      <c r="S8" s="15">
        <v>4</v>
      </c>
      <c r="T8" s="15">
        <v>3</v>
      </c>
      <c r="U8" s="12" t="s">
        <v>555</v>
      </c>
    </row>
    <row r="9" spans="1:21" ht="147" customHeight="1" x14ac:dyDescent="0.25">
      <c r="A9" s="12">
        <v>1132</v>
      </c>
      <c r="B9" s="12">
        <v>1</v>
      </c>
      <c r="C9" s="12">
        <v>8</v>
      </c>
      <c r="D9" s="12" t="s">
        <v>55</v>
      </c>
      <c r="E9" s="2" t="s">
        <v>56</v>
      </c>
      <c r="F9" s="13" t="b">
        <f>FALSE()</f>
        <v>0</v>
      </c>
      <c r="G9" s="13">
        <v>1</v>
      </c>
      <c r="H9" s="13" t="s">
        <v>23</v>
      </c>
      <c r="I9" s="13" t="s">
        <v>556</v>
      </c>
      <c r="J9" s="13" t="s">
        <v>557</v>
      </c>
      <c r="K9" s="14" t="s">
        <v>58</v>
      </c>
      <c r="L9" s="14"/>
      <c r="M9" s="14" t="s">
        <v>61</v>
      </c>
      <c r="N9" s="12">
        <f t="shared" si="0"/>
        <v>0</v>
      </c>
      <c r="O9" s="5" t="str">
        <f t="shared" si="1"/>
        <v/>
      </c>
      <c r="P9" s="15">
        <v>4</v>
      </c>
      <c r="Q9" s="15">
        <v>5</v>
      </c>
      <c r="R9" s="15">
        <v>3</v>
      </c>
      <c r="S9" s="15">
        <v>4</v>
      </c>
      <c r="T9" s="15">
        <v>3</v>
      </c>
      <c r="U9" s="12" t="s">
        <v>558</v>
      </c>
    </row>
    <row r="10" spans="1:21" ht="147" customHeight="1" x14ac:dyDescent="0.25">
      <c r="A10" s="12">
        <v>1132</v>
      </c>
      <c r="B10" s="12">
        <v>2</v>
      </c>
      <c r="C10" s="12">
        <v>1</v>
      </c>
      <c r="D10" s="12" t="s">
        <v>21</v>
      </c>
      <c r="E10" s="2" t="s">
        <v>63</v>
      </c>
      <c r="F10" s="13" t="b">
        <f>FALSE()</f>
        <v>0</v>
      </c>
      <c r="G10" s="13">
        <v>4</v>
      </c>
      <c r="H10" s="13" t="s">
        <v>23</v>
      </c>
      <c r="I10" s="13" t="s">
        <v>559</v>
      </c>
      <c r="J10" s="13" t="s">
        <v>560</v>
      </c>
      <c r="K10" s="14" t="s">
        <v>39</v>
      </c>
      <c r="L10" s="14">
        <v>6</v>
      </c>
      <c r="M10" s="14" t="s">
        <v>66</v>
      </c>
      <c r="N10" s="12">
        <f t="shared" si="0"/>
        <v>0</v>
      </c>
      <c r="O10" s="5">
        <f t="shared" si="1"/>
        <v>0</v>
      </c>
      <c r="P10" s="15">
        <v>2</v>
      </c>
      <c r="Q10" s="15">
        <v>5</v>
      </c>
      <c r="R10" s="15">
        <v>3</v>
      </c>
      <c r="S10" s="15">
        <v>5</v>
      </c>
      <c r="T10" s="15">
        <v>3</v>
      </c>
      <c r="U10" s="12" t="s">
        <v>561</v>
      </c>
    </row>
    <row r="11" spans="1:21" ht="135.75" customHeight="1" x14ac:dyDescent="0.25">
      <c r="A11" s="12">
        <v>1132</v>
      </c>
      <c r="B11" s="12">
        <v>2</v>
      </c>
      <c r="C11" s="12">
        <v>2</v>
      </c>
      <c r="D11" s="12" t="s">
        <v>30</v>
      </c>
      <c r="E11" s="2" t="s">
        <v>67</v>
      </c>
      <c r="F11" s="13" t="b">
        <f>FALSE()</f>
        <v>0</v>
      </c>
      <c r="G11" s="13">
        <v>4</v>
      </c>
      <c r="H11" s="13" t="s">
        <v>23</v>
      </c>
      <c r="I11" s="13" t="s">
        <v>538</v>
      </c>
      <c r="J11" s="13" t="s">
        <v>562</v>
      </c>
      <c r="K11" s="14" t="s">
        <v>32</v>
      </c>
      <c r="L11" s="14">
        <v>6</v>
      </c>
      <c r="M11" s="14" t="s">
        <v>70</v>
      </c>
      <c r="N11" s="12">
        <f t="shared" si="0"/>
        <v>0</v>
      </c>
      <c r="O11" s="5">
        <f t="shared" si="1"/>
        <v>0</v>
      </c>
      <c r="P11" s="15">
        <v>4</v>
      </c>
      <c r="Q11" s="15">
        <v>5</v>
      </c>
      <c r="R11" s="15">
        <v>5</v>
      </c>
      <c r="S11" s="15">
        <v>5</v>
      </c>
      <c r="T11" s="15">
        <v>3</v>
      </c>
      <c r="U11" s="12" t="s">
        <v>563</v>
      </c>
    </row>
    <row r="12" spans="1:21" ht="135.75" customHeight="1" x14ac:dyDescent="0.25">
      <c r="A12" s="12">
        <v>1132</v>
      </c>
      <c r="B12" s="12">
        <v>2</v>
      </c>
      <c r="C12" s="12">
        <v>3</v>
      </c>
      <c r="D12" s="12" t="s">
        <v>30</v>
      </c>
      <c r="E12" s="2" t="s">
        <v>71</v>
      </c>
      <c r="F12" s="13" t="b">
        <f>FALSE()</f>
        <v>0</v>
      </c>
      <c r="G12" s="13">
        <v>4</v>
      </c>
      <c r="H12" s="13" t="s">
        <v>23</v>
      </c>
      <c r="I12" s="13" t="s">
        <v>564</v>
      </c>
      <c r="J12" s="13" t="s">
        <v>565</v>
      </c>
      <c r="K12" s="14" t="s">
        <v>32</v>
      </c>
      <c r="L12" s="14">
        <v>6</v>
      </c>
      <c r="M12" s="14" t="s">
        <v>70</v>
      </c>
      <c r="N12" s="12">
        <f t="shared" si="0"/>
        <v>0</v>
      </c>
      <c r="O12" s="5">
        <f t="shared" si="1"/>
        <v>0</v>
      </c>
      <c r="P12" s="15">
        <v>5</v>
      </c>
      <c r="Q12" s="15">
        <v>5</v>
      </c>
      <c r="R12" s="15">
        <v>5</v>
      </c>
      <c r="S12" s="15">
        <v>5</v>
      </c>
      <c r="T12" s="15">
        <v>3</v>
      </c>
      <c r="U12" s="12" t="s">
        <v>566</v>
      </c>
    </row>
    <row r="13" spans="1:21" ht="147" customHeight="1" x14ac:dyDescent="0.25">
      <c r="A13" s="12">
        <v>1132</v>
      </c>
      <c r="B13" s="12">
        <v>2</v>
      </c>
      <c r="C13" s="12">
        <v>4</v>
      </c>
      <c r="D13" s="12" t="s">
        <v>55</v>
      </c>
      <c r="E13" s="2" t="s">
        <v>74</v>
      </c>
      <c r="F13" s="13" t="b">
        <f>FALSE()</f>
        <v>0</v>
      </c>
      <c r="G13" s="13">
        <v>7</v>
      </c>
      <c r="H13" s="13" t="s">
        <v>23</v>
      </c>
      <c r="I13" s="13" t="s">
        <v>567</v>
      </c>
      <c r="J13" s="13" t="s">
        <v>568</v>
      </c>
      <c r="K13" s="14" t="s">
        <v>58</v>
      </c>
      <c r="L13" s="14"/>
      <c r="M13" s="14" t="s">
        <v>61</v>
      </c>
      <c r="N13" s="12">
        <f t="shared" si="0"/>
        <v>0</v>
      </c>
      <c r="O13" s="5" t="str">
        <f t="shared" si="1"/>
        <v/>
      </c>
      <c r="P13" s="15">
        <v>5</v>
      </c>
      <c r="Q13" s="15">
        <v>5</v>
      </c>
      <c r="R13" s="15">
        <v>4</v>
      </c>
      <c r="S13" s="15">
        <v>5</v>
      </c>
      <c r="T13" s="15">
        <v>3</v>
      </c>
      <c r="U13" s="12" t="s">
        <v>569</v>
      </c>
    </row>
    <row r="14" spans="1:21" ht="135.75" customHeight="1" x14ac:dyDescent="0.25">
      <c r="A14" s="12">
        <v>1132</v>
      </c>
      <c r="B14" s="12">
        <v>3</v>
      </c>
      <c r="C14" s="12">
        <v>1</v>
      </c>
      <c r="D14" s="12" t="s">
        <v>21</v>
      </c>
      <c r="E14" s="2" t="s">
        <v>78</v>
      </c>
      <c r="F14" s="13" t="b">
        <f>FALSE()</f>
        <v>0</v>
      </c>
      <c r="G14" s="13">
        <v>6</v>
      </c>
      <c r="H14" s="13" t="s">
        <v>23</v>
      </c>
      <c r="I14" s="13" t="s">
        <v>570</v>
      </c>
      <c r="J14" s="13" t="s">
        <v>571</v>
      </c>
      <c r="K14" s="14" t="s">
        <v>58</v>
      </c>
      <c r="L14" s="14"/>
      <c r="M14" s="14" t="s">
        <v>81</v>
      </c>
      <c r="N14" s="12">
        <f t="shared" si="0"/>
        <v>0</v>
      </c>
      <c r="O14" s="5" t="str">
        <f t="shared" si="1"/>
        <v/>
      </c>
      <c r="P14" s="15">
        <v>4</v>
      </c>
      <c r="Q14" s="15">
        <v>5</v>
      </c>
      <c r="R14" s="15">
        <v>4</v>
      </c>
      <c r="S14" s="15">
        <v>4</v>
      </c>
      <c r="T14" s="15">
        <v>3</v>
      </c>
      <c r="U14" s="12" t="s">
        <v>572</v>
      </c>
    </row>
    <row r="15" spans="1:21" ht="135.75" customHeight="1" x14ac:dyDescent="0.25">
      <c r="A15" s="12">
        <v>1132</v>
      </c>
      <c r="B15" s="12">
        <v>3</v>
      </c>
      <c r="C15" s="12">
        <v>2</v>
      </c>
      <c r="D15" s="12" t="s">
        <v>55</v>
      </c>
      <c r="E15" s="2" t="s">
        <v>83</v>
      </c>
      <c r="F15" s="13" t="b">
        <f>FALSE()</f>
        <v>0</v>
      </c>
      <c r="G15" s="13">
        <v>6</v>
      </c>
      <c r="H15" s="13" t="s">
        <v>23</v>
      </c>
      <c r="I15" s="13" t="s">
        <v>573</v>
      </c>
      <c r="J15" s="13" t="s">
        <v>574</v>
      </c>
      <c r="K15" s="14" t="s">
        <v>58</v>
      </c>
      <c r="L15" s="14"/>
      <c r="M15" s="14" t="s">
        <v>61</v>
      </c>
      <c r="N15" s="12">
        <f t="shared" si="0"/>
        <v>0</v>
      </c>
      <c r="O15" s="5" t="str">
        <f t="shared" si="1"/>
        <v/>
      </c>
      <c r="P15" s="15">
        <v>5</v>
      </c>
      <c r="Q15" s="15">
        <v>5</v>
      </c>
      <c r="R15" s="15">
        <v>5</v>
      </c>
      <c r="S15" s="15">
        <v>5</v>
      </c>
      <c r="T15" s="15">
        <v>3</v>
      </c>
      <c r="U15" s="12" t="s">
        <v>575</v>
      </c>
    </row>
    <row r="16" spans="1:21" ht="102" customHeight="1" x14ac:dyDescent="0.25">
      <c r="A16" s="12">
        <v>1153</v>
      </c>
      <c r="B16" s="12">
        <v>1</v>
      </c>
      <c r="C16" s="12">
        <v>1</v>
      </c>
      <c r="D16" s="12" t="s">
        <v>55</v>
      </c>
      <c r="E16" s="2" t="s">
        <v>86</v>
      </c>
      <c r="F16" s="13" t="b">
        <f>FALSE()</f>
        <v>0</v>
      </c>
      <c r="G16" s="13">
        <v>4</v>
      </c>
      <c r="H16" s="13" t="s">
        <v>23</v>
      </c>
      <c r="I16" s="13" t="s">
        <v>576</v>
      </c>
      <c r="J16" s="13" t="s">
        <v>577</v>
      </c>
      <c r="K16" s="14" t="s">
        <v>58</v>
      </c>
      <c r="L16" s="14"/>
      <c r="M16" s="14" t="s">
        <v>89</v>
      </c>
      <c r="N16" s="12">
        <f t="shared" si="0"/>
        <v>0</v>
      </c>
      <c r="O16" s="5" t="str">
        <f t="shared" si="1"/>
        <v/>
      </c>
      <c r="P16" s="15">
        <v>5</v>
      </c>
      <c r="Q16" s="15">
        <v>5</v>
      </c>
      <c r="R16" s="15">
        <v>4</v>
      </c>
      <c r="S16" s="15">
        <v>5</v>
      </c>
      <c r="T16" s="15">
        <v>3</v>
      </c>
      <c r="U16" s="12" t="s">
        <v>578</v>
      </c>
    </row>
    <row r="17" spans="1:21" ht="102" customHeight="1" x14ac:dyDescent="0.25">
      <c r="A17" s="12">
        <v>1153</v>
      </c>
      <c r="B17" s="12">
        <v>2</v>
      </c>
      <c r="C17" s="12">
        <v>1</v>
      </c>
      <c r="D17" s="12" t="s">
        <v>30</v>
      </c>
      <c r="E17" s="2" t="s">
        <v>91</v>
      </c>
      <c r="F17" s="13" t="b">
        <f>FALSE()</f>
        <v>0</v>
      </c>
      <c r="G17" s="13">
        <v>6</v>
      </c>
      <c r="H17" s="13" t="s">
        <v>32</v>
      </c>
      <c r="I17" s="13" t="s">
        <v>579</v>
      </c>
      <c r="J17" s="13" t="s">
        <v>580</v>
      </c>
      <c r="K17" s="14" t="s">
        <v>32</v>
      </c>
      <c r="L17" s="14">
        <v>7</v>
      </c>
      <c r="M17" s="14" t="s">
        <v>94</v>
      </c>
      <c r="N17" s="12">
        <f t="shared" si="0"/>
        <v>1</v>
      </c>
      <c r="O17" s="5">
        <f t="shared" si="1"/>
        <v>0</v>
      </c>
      <c r="P17" s="15">
        <v>3</v>
      </c>
      <c r="Q17" s="15">
        <v>5</v>
      </c>
      <c r="R17" s="15">
        <v>5</v>
      </c>
      <c r="S17" s="15">
        <v>5</v>
      </c>
      <c r="T17" s="15">
        <v>3</v>
      </c>
      <c r="U17" s="12" t="s">
        <v>581</v>
      </c>
    </row>
    <row r="18" spans="1:21" ht="113.25" customHeight="1" x14ac:dyDescent="0.25">
      <c r="A18" s="12">
        <v>1153</v>
      </c>
      <c r="B18" s="12">
        <v>2</v>
      </c>
      <c r="C18" s="12">
        <v>2</v>
      </c>
      <c r="D18" s="12" t="s">
        <v>21</v>
      </c>
      <c r="E18" s="2" t="s">
        <v>96</v>
      </c>
      <c r="F18" s="13" t="b">
        <f>FALSE()</f>
        <v>0</v>
      </c>
      <c r="G18" s="13">
        <v>6</v>
      </c>
      <c r="H18" s="13" t="s">
        <v>23</v>
      </c>
      <c r="I18" s="13" t="s">
        <v>582</v>
      </c>
      <c r="J18" s="13" t="s">
        <v>583</v>
      </c>
      <c r="K18" s="14" t="s">
        <v>23</v>
      </c>
      <c r="L18" s="14">
        <v>6</v>
      </c>
      <c r="M18" s="14" t="s">
        <v>99</v>
      </c>
      <c r="N18" s="12">
        <f t="shared" si="0"/>
        <v>1</v>
      </c>
      <c r="O18" s="5">
        <f t="shared" si="1"/>
        <v>1</v>
      </c>
      <c r="P18" s="15">
        <v>5</v>
      </c>
      <c r="Q18" s="15">
        <v>5</v>
      </c>
      <c r="R18" s="15">
        <v>5</v>
      </c>
      <c r="S18" s="15">
        <v>5</v>
      </c>
      <c r="T18" s="15">
        <v>3</v>
      </c>
      <c r="U18" s="12" t="s">
        <v>584</v>
      </c>
    </row>
    <row r="19" spans="1:21" ht="124.5" customHeight="1" x14ac:dyDescent="0.25">
      <c r="A19" s="12">
        <v>1153</v>
      </c>
      <c r="B19" s="12">
        <v>2</v>
      </c>
      <c r="C19" s="12">
        <v>3</v>
      </c>
      <c r="D19" s="12" t="s">
        <v>55</v>
      </c>
      <c r="E19" s="2" t="s">
        <v>100</v>
      </c>
      <c r="F19" s="13" t="b">
        <f>TRUE()</f>
        <v>1</v>
      </c>
      <c r="G19" s="13" t="s">
        <v>57</v>
      </c>
      <c r="H19" s="13" t="s">
        <v>58</v>
      </c>
      <c r="I19" s="13" t="s">
        <v>585</v>
      </c>
      <c r="J19" s="13" t="s">
        <v>586</v>
      </c>
      <c r="K19" s="14" t="s">
        <v>58</v>
      </c>
      <c r="L19" s="14"/>
      <c r="M19" s="14" t="s">
        <v>103</v>
      </c>
      <c r="N19" s="12">
        <f t="shared" si="0"/>
        <v>1</v>
      </c>
      <c r="O19" s="5" t="str">
        <f t="shared" si="1"/>
        <v/>
      </c>
      <c r="P19" s="15">
        <v>5</v>
      </c>
      <c r="Q19" s="15">
        <v>5</v>
      </c>
      <c r="R19" s="15">
        <v>4</v>
      </c>
      <c r="S19" s="15">
        <v>5</v>
      </c>
      <c r="T19" s="15">
        <v>4</v>
      </c>
      <c r="U19" s="12" t="s">
        <v>587</v>
      </c>
    </row>
    <row r="20" spans="1:21" ht="57" customHeight="1" x14ac:dyDescent="0.25">
      <c r="A20" s="12">
        <v>1153</v>
      </c>
      <c r="B20" s="12">
        <v>3</v>
      </c>
      <c r="C20" s="12">
        <v>1</v>
      </c>
      <c r="D20" s="12" t="s">
        <v>55</v>
      </c>
      <c r="E20" s="2" t="s">
        <v>104</v>
      </c>
      <c r="F20" s="13" t="b">
        <f>FALSE()</f>
        <v>0</v>
      </c>
      <c r="G20" s="13">
        <v>3</v>
      </c>
      <c r="H20" s="13" t="s">
        <v>23</v>
      </c>
      <c r="I20" s="13" t="s">
        <v>588</v>
      </c>
      <c r="J20" s="13" t="s">
        <v>589</v>
      </c>
      <c r="K20" s="14" t="s">
        <v>58</v>
      </c>
      <c r="L20" s="14"/>
      <c r="M20" s="14" t="s">
        <v>103</v>
      </c>
      <c r="N20" s="12">
        <f t="shared" si="0"/>
        <v>0</v>
      </c>
      <c r="O20" s="5" t="str">
        <f t="shared" si="1"/>
        <v/>
      </c>
      <c r="P20" s="15">
        <v>4</v>
      </c>
      <c r="Q20" s="15">
        <v>5</v>
      </c>
      <c r="R20" s="15">
        <v>4</v>
      </c>
      <c r="S20" s="15">
        <v>4</v>
      </c>
      <c r="T20" s="15">
        <v>3</v>
      </c>
      <c r="U20" s="12" t="s">
        <v>590</v>
      </c>
    </row>
    <row r="21" spans="1:21" ht="258.75" customHeight="1" x14ac:dyDescent="0.25">
      <c r="A21" s="12">
        <v>1828</v>
      </c>
      <c r="B21" s="12">
        <v>1</v>
      </c>
      <c r="C21" s="12">
        <v>1</v>
      </c>
      <c r="D21" s="12" t="s">
        <v>21</v>
      </c>
      <c r="E21" s="2" t="s">
        <v>107</v>
      </c>
      <c r="F21" s="13" t="b">
        <f>FALSE()</f>
        <v>0</v>
      </c>
      <c r="G21" s="13">
        <v>13</v>
      </c>
      <c r="H21" s="13" t="s">
        <v>23</v>
      </c>
      <c r="I21" s="13" t="s">
        <v>588</v>
      </c>
      <c r="J21" s="13" t="s">
        <v>591</v>
      </c>
      <c r="K21" s="14" t="s">
        <v>23</v>
      </c>
      <c r="L21" s="14">
        <v>16</v>
      </c>
      <c r="M21" s="14" t="s">
        <v>110</v>
      </c>
      <c r="N21" s="12">
        <f t="shared" si="0"/>
        <v>1</v>
      </c>
      <c r="O21" s="5">
        <f t="shared" si="1"/>
        <v>0</v>
      </c>
      <c r="P21" s="15">
        <v>2</v>
      </c>
      <c r="Q21" s="15">
        <v>5</v>
      </c>
      <c r="R21" s="15">
        <v>3</v>
      </c>
      <c r="S21" s="15">
        <v>5</v>
      </c>
      <c r="T21" s="15">
        <v>3</v>
      </c>
      <c r="U21" s="12" t="s">
        <v>592</v>
      </c>
    </row>
    <row r="22" spans="1:21" ht="258.75" customHeight="1" x14ac:dyDescent="0.25">
      <c r="A22" s="12">
        <v>1828</v>
      </c>
      <c r="B22" s="12">
        <v>1</v>
      </c>
      <c r="C22" s="12">
        <v>2</v>
      </c>
      <c r="D22" s="12" t="s">
        <v>111</v>
      </c>
      <c r="E22" s="2" t="s">
        <v>112</v>
      </c>
      <c r="F22" s="13" t="b">
        <f>FALSE()</f>
        <v>0</v>
      </c>
      <c r="G22" s="13">
        <v>7</v>
      </c>
      <c r="H22" s="13" t="s">
        <v>23</v>
      </c>
      <c r="I22" s="13" t="s">
        <v>593</v>
      </c>
      <c r="J22" s="13" t="s">
        <v>594</v>
      </c>
      <c r="K22" s="14" t="s">
        <v>32</v>
      </c>
      <c r="L22" s="14">
        <v>3</v>
      </c>
      <c r="M22" s="14" t="s">
        <v>115</v>
      </c>
      <c r="N22" s="12">
        <f t="shared" si="0"/>
        <v>0</v>
      </c>
      <c r="O22" s="5">
        <f t="shared" si="1"/>
        <v>0</v>
      </c>
      <c r="P22" s="15">
        <v>5</v>
      </c>
      <c r="Q22" s="15">
        <v>5</v>
      </c>
      <c r="R22" s="15">
        <v>5</v>
      </c>
      <c r="S22" s="15">
        <v>5</v>
      </c>
      <c r="T22" s="15">
        <v>3</v>
      </c>
      <c r="U22" s="12" t="s">
        <v>595</v>
      </c>
    </row>
    <row r="23" spans="1:21" ht="258.75" customHeight="1" x14ac:dyDescent="0.25">
      <c r="A23" s="12">
        <v>1828</v>
      </c>
      <c r="B23" s="12">
        <v>1</v>
      </c>
      <c r="C23" s="12">
        <v>3</v>
      </c>
      <c r="D23" s="12" t="s">
        <v>55</v>
      </c>
      <c r="E23" s="2" t="s">
        <v>116</v>
      </c>
      <c r="F23" s="13" t="b">
        <f>FALSE()</f>
        <v>0</v>
      </c>
      <c r="G23" s="13">
        <v>7</v>
      </c>
      <c r="H23" s="13" t="s">
        <v>23</v>
      </c>
      <c r="I23" s="13" t="s">
        <v>596</v>
      </c>
      <c r="J23" s="13" t="s">
        <v>597</v>
      </c>
      <c r="K23" s="14" t="s">
        <v>58</v>
      </c>
      <c r="L23" s="14"/>
      <c r="M23" s="14" t="s">
        <v>119</v>
      </c>
      <c r="N23" s="12">
        <f t="shared" si="0"/>
        <v>0</v>
      </c>
      <c r="O23" s="5" t="str">
        <f t="shared" si="1"/>
        <v/>
      </c>
      <c r="P23" s="15">
        <v>4</v>
      </c>
      <c r="Q23" s="15">
        <v>5</v>
      </c>
      <c r="R23" s="15">
        <v>4</v>
      </c>
      <c r="S23" s="15">
        <v>4</v>
      </c>
      <c r="T23" s="15">
        <v>3</v>
      </c>
      <c r="U23" s="12" t="s">
        <v>590</v>
      </c>
    </row>
    <row r="24" spans="1:21" ht="281.25" customHeight="1" x14ac:dyDescent="0.25">
      <c r="A24" s="12">
        <v>1828</v>
      </c>
      <c r="B24" s="12">
        <v>2</v>
      </c>
      <c r="C24" s="12">
        <v>1</v>
      </c>
      <c r="D24" s="12" t="s">
        <v>21</v>
      </c>
      <c r="E24" s="2" t="s">
        <v>120</v>
      </c>
      <c r="F24" s="13" t="b">
        <f>FALSE()</f>
        <v>0</v>
      </c>
      <c r="G24" s="13">
        <v>10</v>
      </c>
      <c r="H24" s="13" t="s">
        <v>23</v>
      </c>
      <c r="I24" s="13" t="s">
        <v>598</v>
      </c>
      <c r="J24" s="13" t="s">
        <v>599</v>
      </c>
      <c r="K24" s="14" t="s">
        <v>23</v>
      </c>
      <c r="L24" s="14">
        <v>7</v>
      </c>
      <c r="M24" s="14" t="s">
        <v>123</v>
      </c>
      <c r="N24" s="12">
        <f t="shared" si="0"/>
        <v>1</v>
      </c>
      <c r="O24" s="5">
        <f t="shared" si="1"/>
        <v>0</v>
      </c>
      <c r="P24" s="15">
        <v>5</v>
      </c>
      <c r="Q24" s="15">
        <v>5</v>
      </c>
      <c r="R24" s="15">
        <v>4</v>
      </c>
      <c r="S24" s="15">
        <v>5</v>
      </c>
      <c r="T24" s="15">
        <v>3</v>
      </c>
      <c r="U24" s="12" t="s">
        <v>600</v>
      </c>
    </row>
    <row r="25" spans="1:21" ht="281.25" customHeight="1" x14ac:dyDescent="0.25">
      <c r="A25" s="12">
        <v>1828</v>
      </c>
      <c r="B25" s="12">
        <v>2</v>
      </c>
      <c r="C25" s="12">
        <v>2</v>
      </c>
      <c r="D25" s="12" t="s">
        <v>30</v>
      </c>
      <c r="E25" s="2" t="s">
        <v>124</v>
      </c>
      <c r="F25" s="13" t="b">
        <f>FALSE()</f>
        <v>0</v>
      </c>
      <c r="G25" s="13">
        <v>6</v>
      </c>
      <c r="H25" s="13" t="s">
        <v>23</v>
      </c>
      <c r="I25" s="13" t="s">
        <v>601</v>
      </c>
      <c r="J25" s="13" t="s">
        <v>602</v>
      </c>
      <c r="K25" s="14" t="s">
        <v>32</v>
      </c>
      <c r="L25" s="14">
        <v>7</v>
      </c>
      <c r="M25" s="14" t="s">
        <v>127</v>
      </c>
      <c r="N25" s="12">
        <f t="shared" si="0"/>
        <v>0</v>
      </c>
      <c r="O25" s="5">
        <f t="shared" si="1"/>
        <v>0</v>
      </c>
      <c r="P25" s="15">
        <v>4</v>
      </c>
      <c r="Q25" s="15">
        <v>5</v>
      </c>
      <c r="R25" s="15">
        <v>5</v>
      </c>
      <c r="S25" s="15">
        <v>5</v>
      </c>
      <c r="T25" s="15">
        <v>3</v>
      </c>
      <c r="U25" s="12" t="s">
        <v>603</v>
      </c>
    </row>
    <row r="26" spans="1:21" ht="359.25" customHeight="1" x14ac:dyDescent="0.25">
      <c r="A26" s="12">
        <v>1828</v>
      </c>
      <c r="B26" s="12">
        <v>2</v>
      </c>
      <c r="C26" s="12">
        <v>3</v>
      </c>
      <c r="D26" s="12" t="s">
        <v>55</v>
      </c>
      <c r="E26" s="2" t="s">
        <v>128</v>
      </c>
      <c r="F26" s="13" t="b">
        <f>FALSE()</f>
        <v>0</v>
      </c>
      <c r="G26" s="13">
        <v>7</v>
      </c>
      <c r="H26" s="13" t="s">
        <v>23</v>
      </c>
      <c r="I26" s="13" t="s">
        <v>604</v>
      </c>
      <c r="J26" s="13" t="s">
        <v>605</v>
      </c>
      <c r="K26" s="14" t="s">
        <v>58</v>
      </c>
      <c r="L26" s="14"/>
      <c r="M26" s="14" t="s">
        <v>119</v>
      </c>
      <c r="N26" s="12">
        <f t="shared" si="0"/>
        <v>0</v>
      </c>
      <c r="O26" s="5" t="str">
        <f t="shared" si="1"/>
        <v/>
      </c>
      <c r="P26" s="15">
        <v>4</v>
      </c>
      <c r="Q26" s="15">
        <v>5</v>
      </c>
      <c r="R26" s="15">
        <v>4</v>
      </c>
      <c r="S26" s="15">
        <v>4</v>
      </c>
      <c r="T26" s="15">
        <v>3</v>
      </c>
      <c r="U26" s="12" t="s">
        <v>606</v>
      </c>
    </row>
    <row r="27" spans="1:21" ht="213.75" customHeight="1" x14ac:dyDescent="0.25">
      <c r="A27" s="12">
        <v>1828</v>
      </c>
      <c r="B27" s="12">
        <v>3</v>
      </c>
      <c r="C27" s="12">
        <v>1</v>
      </c>
      <c r="D27" s="12" t="s">
        <v>55</v>
      </c>
      <c r="E27" s="2" t="s">
        <v>131</v>
      </c>
      <c r="F27" s="13" t="b">
        <f>FALSE()</f>
        <v>0</v>
      </c>
      <c r="G27" s="13">
        <v>10</v>
      </c>
      <c r="H27" s="13" t="s">
        <v>23</v>
      </c>
      <c r="I27" s="13" t="s">
        <v>607</v>
      </c>
      <c r="J27" s="13" t="s">
        <v>608</v>
      </c>
      <c r="K27" s="14" t="s">
        <v>58</v>
      </c>
      <c r="L27" s="14"/>
      <c r="M27" s="14" t="s">
        <v>119</v>
      </c>
      <c r="N27" s="12">
        <f t="shared" si="0"/>
        <v>0</v>
      </c>
      <c r="O27" s="5" t="str">
        <f t="shared" si="1"/>
        <v/>
      </c>
      <c r="P27" s="15">
        <v>1</v>
      </c>
      <c r="Q27" s="15">
        <v>5</v>
      </c>
      <c r="R27" s="15">
        <v>3</v>
      </c>
      <c r="S27" s="15">
        <v>5</v>
      </c>
      <c r="T27" s="15">
        <v>3</v>
      </c>
      <c r="U27" s="12" t="s">
        <v>609</v>
      </c>
    </row>
    <row r="28" spans="1:21" ht="225" customHeight="1" x14ac:dyDescent="0.25">
      <c r="A28" s="12">
        <v>1873</v>
      </c>
      <c r="B28" s="12">
        <v>1</v>
      </c>
      <c r="C28" s="12">
        <v>1</v>
      </c>
      <c r="D28" s="12" t="s">
        <v>21</v>
      </c>
      <c r="E28" s="2" t="s">
        <v>134</v>
      </c>
      <c r="F28" s="13" t="b">
        <f>FALSE()</f>
        <v>0</v>
      </c>
      <c r="G28" s="13">
        <v>9</v>
      </c>
      <c r="H28" s="13" t="s">
        <v>23</v>
      </c>
      <c r="I28" s="13" t="s">
        <v>610</v>
      </c>
      <c r="J28" s="13" t="s">
        <v>611</v>
      </c>
      <c r="K28" s="14" t="s">
        <v>23</v>
      </c>
      <c r="L28" s="14">
        <v>13</v>
      </c>
      <c r="M28" s="14" t="s">
        <v>137</v>
      </c>
      <c r="N28" s="12">
        <f t="shared" si="0"/>
        <v>1</v>
      </c>
      <c r="O28" s="5">
        <f t="shared" si="1"/>
        <v>0</v>
      </c>
      <c r="P28" s="15">
        <v>4</v>
      </c>
      <c r="Q28" s="15">
        <v>5</v>
      </c>
      <c r="R28" s="15">
        <v>4</v>
      </c>
      <c r="S28" s="15">
        <v>5</v>
      </c>
      <c r="T28" s="15">
        <v>3</v>
      </c>
      <c r="U28" s="12" t="s">
        <v>612</v>
      </c>
    </row>
    <row r="29" spans="1:21" ht="225" customHeight="1" x14ac:dyDescent="0.25">
      <c r="A29" s="12">
        <v>1873</v>
      </c>
      <c r="B29" s="12">
        <v>1</v>
      </c>
      <c r="C29" s="12">
        <v>2</v>
      </c>
      <c r="D29" s="12" t="s">
        <v>138</v>
      </c>
      <c r="E29" s="2" t="s">
        <v>139</v>
      </c>
      <c r="F29" s="13" t="b">
        <f>FALSE()</f>
        <v>0</v>
      </c>
      <c r="G29" s="13">
        <v>7</v>
      </c>
      <c r="H29" s="13" t="s">
        <v>23</v>
      </c>
      <c r="I29" s="13" t="s">
        <v>588</v>
      </c>
      <c r="J29" s="13" t="s">
        <v>613</v>
      </c>
      <c r="K29" s="14" t="s">
        <v>32</v>
      </c>
      <c r="L29" s="14">
        <v>6</v>
      </c>
      <c r="M29" s="14" t="s">
        <v>142</v>
      </c>
      <c r="N29" s="12">
        <f t="shared" si="0"/>
        <v>0</v>
      </c>
      <c r="O29" s="5">
        <f t="shared" si="1"/>
        <v>0</v>
      </c>
      <c r="P29" s="15">
        <v>5</v>
      </c>
      <c r="Q29" s="15">
        <v>5</v>
      </c>
      <c r="R29" s="15">
        <v>4</v>
      </c>
      <c r="S29" s="15">
        <v>5</v>
      </c>
      <c r="T29" s="15">
        <v>3</v>
      </c>
      <c r="U29" s="12" t="s">
        <v>555</v>
      </c>
    </row>
    <row r="30" spans="1:21" ht="325.5" customHeight="1" x14ac:dyDescent="0.25">
      <c r="A30" s="12">
        <v>1873</v>
      </c>
      <c r="B30" s="12">
        <v>1</v>
      </c>
      <c r="C30" s="12">
        <v>3</v>
      </c>
      <c r="D30" s="12" t="s">
        <v>138</v>
      </c>
      <c r="E30" s="2" t="s">
        <v>144</v>
      </c>
      <c r="F30" s="13" t="b">
        <f>FALSE()</f>
        <v>0</v>
      </c>
      <c r="G30" s="13">
        <v>10</v>
      </c>
      <c r="H30" s="13" t="s">
        <v>23</v>
      </c>
      <c r="I30" s="13" t="s">
        <v>614</v>
      </c>
      <c r="J30" s="13" t="s">
        <v>615</v>
      </c>
      <c r="K30" s="14" t="s">
        <v>32</v>
      </c>
      <c r="L30" s="14">
        <v>20</v>
      </c>
      <c r="M30" s="14" t="s">
        <v>147</v>
      </c>
      <c r="N30" s="12">
        <f t="shared" si="0"/>
        <v>0</v>
      </c>
      <c r="O30" s="5">
        <f t="shared" si="1"/>
        <v>0</v>
      </c>
      <c r="P30" s="15">
        <v>4</v>
      </c>
      <c r="Q30" s="15">
        <v>5</v>
      </c>
      <c r="R30" s="15">
        <v>4</v>
      </c>
      <c r="S30" s="15">
        <v>5</v>
      </c>
      <c r="T30" s="15">
        <v>3</v>
      </c>
      <c r="U30" s="12" t="s">
        <v>616</v>
      </c>
    </row>
    <row r="31" spans="1:21" ht="325.5" customHeight="1" x14ac:dyDescent="0.25">
      <c r="A31" s="12">
        <v>1873</v>
      </c>
      <c r="B31" s="12">
        <v>1</v>
      </c>
      <c r="C31" s="12">
        <v>4</v>
      </c>
      <c r="D31" s="12" t="s">
        <v>138</v>
      </c>
      <c r="E31" s="2" t="s">
        <v>148</v>
      </c>
      <c r="F31" s="13" t="b">
        <f>FALSE()</f>
        <v>0</v>
      </c>
      <c r="G31" s="13">
        <v>10</v>
      </c>
      <c r="H31" s="13" t="s">
        <v>23</v>
      </c>
      <c r="I31" s="13" t="s">
        <v>617</v>
      </c>
      <c r="J31" s="13" t="s">
        <v>618</v>
      </c>
      <c r="K31" s="14" t="s">
        <v>32</v>
      </c>
      <c r="L31" s="14">
        <v>6</v>
      </c>
      <c r="M31" s="14" t="s">
        <v>151</v>
      </c>
      <c r="N31" s="12">
        <f t="shared" si="0"/>
        <v>0</v>
      </c>
      <c r="O31" s="5">
        <f t="shared" si="1"/>
        <v>0</v>
      </c>
      <c r="P31" s="15">
        <v>4</v>
      </c>
      <c r="Q31" s="15">
        <v>5</v>
      </c>
      <c r="R31" s="15">
        <v>4</v>
      </c>
      <c r="S31" s="15">
        <v>5</v>
      </c>
      <c r="T31" s="15">
        <v>3</v>
      </c>
      <c r="U31" s="12" t="s">
        <v>619</v>
      </c>
    </row>
    <row r="32" spans="1:21" ht="258.75" customHeight="1" x14ac:dyDescent="0.25">
      <c r="A32" s="12">
        <v>1873</v>
      </c>
      <c r="B32" s="12">
        <v>1</v>
      </c>
      <c r="C32" s="12">
        <v>5</v>
      </c>
      <c r="D32" s="12" t="s">
        <v>21</v>
      </c>
      <c r="E32" s="2" t="s">
        <v>152</v>
      </c>
      <c r="F32" s="13" t="b">
        <f>FALSE()</f>
        <v>0</v>
      </c>
      <c r="G32" s="13">
        <v>8</v>
      </c>
      <c r="H32" s="13" t="s">
        <v>23</v>
      </c>
      <c r="I32" s="13" t="s">
        <v>620</v>
      </c>
      <c r="J32" s="13" t="s">
        <v>621</v>
      </c>
      <c r="K32" s="14" t="s">
        <v>39</v>
      </c>
      <c r="L32" s="14">
        <v>6</v>
      </c>
      <c r="M32" s="14" t="s">
        <v>155</v>
      </c>
      <c r="N32" s="12">
        <f t="shared" si="0"/>
        <v>0</v>
      </c>
      <c r="O32" s="5">
        <f t="shared" si="1"/>
        <v>0</v>
      </c>
      <c r="P32" s="15">
        <v>3</v>
      </c>
      <c r="Q32" s="15">
        <v>5</v>
      </c>
      <c r="R32" s="15">
        <v>4</v>
      </c>
      <c r="S32" s="15">
        <v>4</v>
      </c>
      <c r="T32" s="15">
        <v>3</v>
      </c>
      <c r="U32" s="12" t="s">
        <v>622</v>
      </c>
    </row>
    <row r="33" spans="1:21" ht="247.5" customHeight="1" x14ac:dyDescent="0.25">
      <c r="A33" s="12">
        <v>1873</v>
      </c>
      <c r="B33" s="12">
        <v>1</v>
      </c>
      <c r="C33" s="12">
        <v>6</v>
      </c>
      <c r="D33" s="12" t="s">
        <v>21</v>
      </c>
      <c r="E33" s="2" t="s">
        <v>157</v>
      </c>
      <c r="F33" s="13" t="b">
        <f>FALSE()</f>
        <v>0</v>
      </c>
      <c r="G33" s="13">
        <v>6</v>
      </c>
      <c r="H33" s="13" t="s">
        <v>23</v>
      </c>
      <c r="I33" s="13" t="s">
        <v>623</v>
      </c>
      <c r="J33" s="13" t="s">
        <v>624</v>
      </c>
      <c r="K33" s="14" t="s">
        <v>23</v>
      </c>
      <c r="L33" s="14">
        <v>6</v>
      </c>
      <c r="M33" s="14" t="s">
        <v>160</v>
      </c>
      <c r="N33" s="12">
        <f t="shared" si="0"/>
        <v>1</v>
      </c>
      <c r="O33" s="5">
        <f t="shared" si="1"/>
        <v>1</v>
      </c>
      <c r="P33" s="15">
        <v>2</v>
      </c>
      <c r="Q33" s="15">
        <v>5</v>
      </c>
      <c r="R33" s="15">
        <v>3</v>
      </c>
      <c r="S33" s="15">
        <v>5</v>
      </c>
      <c r="T33" s="15">
        <v>3</v>
      </c>
      <c r="U33" s="12" t="s">
        <v>625</v>
      </c>
    </row>
    <row r="34" spans="1:21" ht="247.5" customHeight="1" x14ac:dyDescent="0.25">
      <c r="A34" s="12">
        <v>1873</v>
      </c>
      <c r="B34" s="12">
        <v>1</v>
      </c>
      <c r="C34" s="12">
        <v>7</v>
      </c>
      <c r="D34" s="12" t="s">
        <v>21</v>
      </c>
      <c r="E34" s="2" t="s">
        <v>161</v>
      </c>
      <c r="F34" s="13" t="b">
        <f>FALSE()</f>
        <v>0</v>
      </c>
      <c r="G34" s="13">
        <v>4</v>
      </c>
      <c r="H34" s="13" t="s">
        <v>23</v>
      </c>
      <c r="I34" s="13" t="s">
        <v>626</v>
      </c>
      <c r="J34" s="13" t="s">
        <v>627</v>
      </c>
      <c r="K34" s="14" t="s">
        <v>23</v>
      </c>
      <c r="L34" s="14">
        <v>6</v>
      </c>
      <c r="M34" s="14" t="s">
        <v>160</v>
      </c>
      <c r="N34" s="12">
        <f t="shared" ref="N34:N51" si="2">IF(AND(H34&lt;&gt;"",K34&lt;&gt;""),IF(H34=K34,1,0),"")</f>
        <v>1</v>
      </c>
      <c r="O34" s="5">
        <f t="shared" ref="O34:O51" si="3">IF(OR(K34="",K34="Nenhum (código correto)",L34=""),"",IF(G34="","",IF(G34=L34,1,0)))</f>
        <v>0</v>
      </c>
      <c r="P34" s="15">
        <v>4</v>
      </c>
      <c r="Q34" s="15">
        <v>5</v>
      </c>
      <c r="R34" s="15">
        <v>4</v>
      </c>
      <c r="S34" s="15">
        <v>5</v>
      </c>
      <c r="T34" s="15">
        <v>3</v>
      </c>
      <c r="U34" s="12" t="s">
        <v>628</v>
      </c>
    </row>
    <row r="35" spans="1:21" ht="247.5" customHeight="1" x14ac:dyDescent="0.25">
      <c r="A35" s="12">
        <v>1873</v>
      </c>
      <c r="B35" s="12">
        <v>1</v>
      </c>
      <c r="C35" s="12">
        <v>8</v>
      </c>
      <c r="D35" s="12" t="s">
        <v>55</v>
      </c>
      <c r="E35" s="2" t="s">
        <v>164</v>
      </c>
      <c r="F35" s="13" t="b">
        <f>FALSE()</f>
        <v>0</v>
      </c>
      <c r="G35" s="13">
        <v>8</v>
      </c>
      <c r="H35" s="13" t="s">
        <v>23</v>
      </c>
      <c r="I35" s="13" t="s">
        <v>629</v>
      </c>
      <c r="J35" s="13" t="s">
        <v>630</v>
      </c>
      <c r="K35" s="14" t="s">
        <v>58</v>
      </c>
      <c r="L35" s="14"/>
      <c r="M35" s="14" t="s">
        <v>119</v>
      </c>
      <c r="N35" s="12">
        <f t="shared" si="2"/>
        <v>0</v>
      </c>
      <c r="O35" s="5" t="str">
        <f t="shared" si="3"/>
        <v/>
      </c>
      <c r="P35" s="15">
        <v>4</v>
      </c>
      <c r="Q35" s="15">
        <v>5</v>
      </c>
      <c r="R35" s="15">
        <v>4</v>
      </c>
      <c r="S35" s="15">
        <v>4</v>
      </c>
      <c r="T35" s="15">
        <v>3</v>
      </c>
      <c r="U35" s="12" t="s">
        <v>590</v>
      </c>
    </row>
    <row r="36" spans="1:21" ht="270" customHeight="1" x14ac:dyDescent="0.25">
      <c r="A36" s="12">
        <v>1873</v>
      </c>
      <c r="B36" s="12">
        <v>2</v>
      </c>
      <c r="C36" s="12">
        <v>1</v>
      </c>
      <c r="D36" s="12" t="s">
        <v>21</v>
      </c>
      <c r="E36" s="2" t="s">
        <v>168</v>
      </c>
      <c r="F36" s="13" t="b">
        <f>FALSE()</f>
        <v>0</v>
      </c>
      <c r="G36" s="13">
        <v>10</v>
      </c>
      <c r="H36" s="13" t="s">
        <v>23</v>
      </c>
      <c r="I36" s="13" t="s">
        <v>631</v>
      </c>
      <c r="J36" s="13" t="s">
        <v>632</v>
      </c>
      <c r="K36" s="14" t="s">
        <v>23</v>
      </c>
      <c r="L36" s="14">
        <v>11</v>
      </c>
      <c r="M36" s="14" t="s">
        <v>171</v>
      </c>
      <c r="N36" s="12">
        <f t="shared" si="2"/>
        <v>1</v>
      </c>
      <c r="O36" s="5">
        <f t="shared" si="3"/>
        <v>0</v>
      </c>
      <c r="P36" s="15">
        <v>2</v>
      </c>
      <c r="Q36" s="15">
        <v>5</v>
      </c>
      <c r="R36" s="15">
        <v>3</v>
      </c>
      <c r="S36" s="15">
        <v>5</v>
      </c>
      <c r="T36" s="15">
        <v>3</v>
      </c>
      <c r="U36" s="12" t="s">
        <v>633</v>
      </c>
    </row>
    <row r="37" spans="1:21" ht="270" customHeight="1" x14ac:dyDescent="0.25">
      <c r="A37" s="12">
        <v>1873</v>
      </c>
      <c r="B37" s="12">
        <v>2</v>
      </c>
      <c r="C37" s="12">
        <v>2</v>
      </c>
      <c r="D37" s="12" t="s">
        <v>21</v>
      </c>
      <c r="E37" s="2" t="s">
        <v>172</v>
      </c>
      <c r="F37" s="13" t="b">
        <f>FALSE()</f>
        <v>0</v>
      </c>
      <c r="G37" s="13">
        <v>16</v>
      </c>
      <c r="H37" s="13" t="s">
        <v>23</v>
      </c>
      <c r="I37" s="13" t="s">
        <v>559</v>
      </c>
      <c r="J37" s="13" t="s">
        <v>634</v>
      </c>
      <c r="K37" s="14" t="s">
        <v>39</v>
      </c>
      <c r="L37" s="14">
        <v>24</v>
      </c>
      <c r="M37" s="14" t="s">
        <v>175</v>
      </c>
      <c r="N37" s="12">
        <f t="shared" si="2"/>
        <v>0</v>
      </c>
      <c r="O37" s="5">
        <f t="shared" si="3"/>
        <v>0</v>
      </c>
      <c r="P37" s="15">
        <v>2</v>
      </c>
      <c r="Q37" s="15">
        <v>5</v>
      </c>
      <c r="R37" s="15">
        <v>3</v>
      </c>
      <c r="S37" s="15">
        <v>5</v>
      </c>
      <c r="T37" s="15">
        <v>3</v>
      </c>
      <c r="U37" s="12" t="s">
        <v>635</v>
      </c>
    </row>
    <row r="38" spans="1:21" ht="270" customHeight="1" x14ac:dyDescent="0.25">
      <c r="A38" s="12">
        <v>1873</v>
      </c>
      <c r="B38" s="12">
        <v>2</v>
      </c>
      <c r="C38" s="12">
        <v>3</v>
      </c>
      <c r="D38" s="12" t="s">
        <v>176</v>
      </c>
      <c r="E38" s="2" t="s">
        <v>177</v>
      </c>
      <c r="F38" s="13" t="b">
        <f>FALSE()</f>
        <v>0</v>
      </c>
      <c r="G38" s="13">
        <v>16</v>
      </c>
      <c r="H38" s="13" t="s">
        <v>23</v>
      </c>
      <c r="I38" s="13" t="s">
        <v>636</v>
      </c>
      <c r="J38" s="13" t="s">
        <v>637</v>
      </c>
      <c r="K38" s="14" t="s">
        <v>39</v>
      </c>
      <c r="L38" s="14">
        <v>14</v>
      </c>
      <c r="M38" s="14" t="s">
        <v>180</v>
      </c>
      <c r="N38" s="12">
        <f t="shared" si="2"/>
        <v>0</v>
      </c>
      <c r="O38" s="5">
        <f t="shared" si="3"/>
        <v>0</v>
      </c>
      <c r="P38" s="15">
        <v>5</v>
      </c>
      <c r="Q38" s="15">
        <v>5</v>
      </c>
      <c r="R38" s="15">
        <v>5</v>
      </c>
      <c r="S38" s="15">
        <v>5</v>
      </c>
      <c r="T38" s="15">
        <v>3</v>
      </c>
      <c r="U38" s="12" t="s">
        <v>638</v>
      </c>
    </row>
    <row r="39" spans="1:21" ht="270" customHeight="1" x14ac:dyDescent="0.25">
      <c r="A39" s="12">
        <v>1873</v>
      </c>
      <c r="B39" s="12">
        <v>2</v>
      </c>
      <c r="C39" s="12">
        <v>4</v>
      </c>
      <c r="D39" s="12" t="s">
        <v>176</v>
      </c>
      <c r="E39" s="2" t="s">
        <v>181</v>
      </c>
      <c r="F39" s="13" t="b">
        <f>FALSE()</f>
        <v>0</v>
      </c>
      <c r="G39" s="13">
        <v>16</v>
      </c>
      <c r="H39" s="13" t="s">
        <v>23</v>
      </c>
      <c r="I39" s="13" t="s">
        <v>588</v>
      </c>
      <c r="J39" s="13" t="s">
        <v>639</v>
      </c>
      <c r="K39" s="14" t="s">
        <v>39</v>
      </c>
      <c r="L39" s="14">
        <v>14</v>
      </c>
      <c r="M39" s="14" t="s">
        <v>184</v>
      </c>
      <c r="N39" s="12">
        <f t="shared" si="2"/>
        <v>0</v>
      </c>
      <c r="O39" s="5">
        <f t="shared" si="3"/>
        <v>0</v>
      </c>
      <c r="P39" s="15">
        <v>3</v>
      </c>
      <c r="Q39" s="15">
        <v>5</v>
      </c>
      <c r="R39" s="15">
        <v>2</v>
      </c>
      <c r="S39" s="15">
        <v>3</v>
      </c>
      <c r="T39" s="15">
        <v>3</v>
      </c>
      <c r="U39" s="12" t="s">
        <v>640</v>
      </c>
    </row>
    <row r="40" spans="1:21" ht="270" customHeight="1" x14ac:dyDescent="0.25">
      <c r="A40" s="12">
        <v>1873</v>
      </c>
      <c r="B40" s="12">
        <v>2</v>
      </c>
      <c r="C40" s="12">
        <v>5</v>
      </c>
      <c r="D40" s="12" t="s">
        <v>176</v>
      </c>
      <c r="E40" s="2" t="s">
        <v>177</v>
      </c>
      <c r="F40" s="13" t="b">
        <f>FALSE()</f>
        <v>0</v>
      </c>
      <c r="G40" s="13">
        <v>15</v>
      </c>
      <c r="H40" s="13" t="s">
        <v>23</v>
      </c>
      <c r="I40" s="13" t="s">
        <v>641</v>
      </c>
      <c r="J40" s="13" t="s">
        <v>642</v>
      </c>
      <c r="K40" s="14" t="s">
        <v>39</v>
      </c>
      <c r="L40" s="14">
        <v>14</v>
      </c>
      <c r="M40" s="14" t="s">
        <v>184</v>
      </c>
      <c r="N40" s="12">
        <f t="shared" si="2"/>
        <v>0</v>
      </c>
      <c r="O40" s="5">
        <f t="shared" si="3"/>
        <v>0</v>
      </c>
      <c r="P40" s="15">
        <v>4</v>
      </c>
      <c r="Q40" s="15">
        <v>5</v>
      </c>
      <c r="R40" s="15">
        <v>5</v>
      </c>
      <c r="S40" s="15">
        <v>5</v>
      </c>
      <c r="T40" s="15">
        <v>3</v>
      </c>
      <c r="U40" s="12" t="s">
        <v>643</v>
      </c>
    </row>
    <row r="41" spans="1:21" ht="270" customHeight="1" x14ac:dyDescent="0.25">
      <c r="A41" s="12">
        <v>1873</v>
      </c>
      <c r="B41" s="12">
        <v>2</v>
      </c>
      <c r="C41" s="12">
        <v>6</v>
      </c>
      <c r="D41" s="12" t="s">
        <v>176</v>
      </c>
      <c r="E41" s="2" t="s">
        <v>181</v>
      </c>
      <c r="F41" s="13" t="b">
        <f>FALSE()</f>
        <v>0</v>
      </c>
      <c r="G41" s="13">
        <v>16</v>
      </c>
      <c r="H41" s="13" t="s">
        <v>23</v>
      </c>
      <c r="I41" s="13" t="s">
        <v>588</v>
      </c>
      <c r="J41" s="13" t="s">
        <v>644</v>
      </c>
      <c r="K41" s="14" t="s">
        <v>39</v>
      </c>
      <c r="L41" s="14">
        <v>14</v>
      </c>
      <c r="M41" s="14" t="s">
        <v>184</v>
      </c>
      <c r="N41" s="12">
        <f t="shared" si="2"/>
        <v>0</v>
      </c>
      <c r="O41" s="5">
        <f t="shared" si="3"/>
        <v>0</v>
      </c>
      <c r="P41" s="15">
        <v>4</v>
      </c>
      <c r="Q41" s="15">
        <v>5</v>
      </c>
      <c r="R41" s="15">
        <v>4</v>
      </c>
      <c r="S41" s="15">
        <v>5</v>
      </c>
      <c r="T41" s="15">
        <v>3</v>
      </c>
      <c r="U41" s="12" t="s">
        <v>645</v>
      </c>
    </row>
    <row r="42" spans="1:21" ht="270" customHeight="1" x14ac:dyDescent="0.25">
      <c r="A42" s="12">
        <v>1873</v>
      </c>
      <c r="B42" s="12">
        <v>2</v>
      </c>
      <c r="C42" s="12">
        <v>7</v>
      </c>
      <c r="D42" s="12" t="s">
        <v>176</v>
      </c>
      <c r="E42" s="2" t="s">
        <v>177</v>
      </c>
      <c r="F42" s="13" t="b">
        <f>FALSE()</f>
        <v>0</v>
      </c>
      <c r="G42" s="13">
        <v>14</v>
      </c>
      <c r="H42" s="13" t="s">
        <v>23</v>
      </c>
      <c r="I42" s="13" t="s">
        <v>646</v>
      </c>
      <c r="J42" s="13" t="s">
        <v>647</v>
      </c>
      <c r="K42" s="14" t="s">
        <v>39</v>
      </c>
      <c r="L42" s="14">
        <v>14</v>
      </c>
      <c r="M42" s="14" t="s">
        <v>184</v>
      </c>
      <c r="N42" s="12">
        <f t="shared" si="2"/>
        <v>0</v>
      </c>
      <c r="O42" s="5">
        <f t="shared" si="3"/>
        <v>1</v>
      </c>
      <c r="P42" s="15">
        <v>4</v>
      </c>
      <c r="Q42" s="15">
        <v>5</v>
      </c>
      <c r="R42" s="15">
        <v>5</v>
      </c>
      <c r="S42" s="15">
        <v>5</v>
      </c>
      <c r="T42" s="15">
        <v>3</v>
      </c>
      <c r="U42" s="12" t="s">
        <v>648</v>
      </c>
    </row>
    <row r="43" spans="1:21" ht="270" customHeight="1" x14ac:dyDescent="0.25">
      <c r="A43" s="12">
        <v>1873</v>
      </c>
      <c r="B43" s="12">
        <v>2</v>
      </c>
      <c r="C43" s="12">
        <v>8</v>
      </c>
      <c r="D43" s="12" t="s">
        <v>55</v>
      </c>
      <c r="E43" s="2" t="s">
        <v>193</v>
      </c>
      <c r="F43" s="13" t="b">
        <f>FALSE()</f>
        <v>0</v>
      </c>
      <c r="G43" s="13">
        <v>15</v>
      </c>
      <c r="H43" s="13" t="s">
        <v>23</v>
      </c>
      <c r="I43" s="13" t="s">
        <v>649</v>
      </c>
      <c r="J43" s="13" t="s">
        <v>650</v>
      </c>
      <c r="K43" s="14" t="s">
        <v>39</v>
      </c>
      <c r="L43" s="14">
        <v>14</v>
      </c>
      <c r="M43" s="14" t="s">
        <v>196</v>
      </c>
      <c r="N43" s="12">
        <f t="shared" si="2"/>
        <v>0</v>
      </c>
      <c r="O43" s="5">
        <f t="shared" si="3"/>
        <v>0</v>
      </c>
      <c r="P43" s="15">
        <v>1</v>
      </c>
      <c r="Q43" s="15">
        <v>5</v>
      </c>
      <c r="R43" s="15">
        <v>3</v>
      </c>
      <c r="S43" s="15">
        <v>5</v>
      </c>
      <c r="T43" s="15">
        <v>3</v>
      </c>
      <c r="U43" s="12" t="s">
        <v>651</v>
      </c>
    </row>
    <row r="44" spans="1:21" ht="213.75" customHeight="1" x14ac:dyDescent="0.25">
      <c r="A44" s="12">
        <v>1873</v>
      </c>
      <c r="B44" s="12">
        <v>3</v>
      </c>
      <c r="C44" s="12">
        <v>1</v>
      </c>
      <c r="D44" s="12" t="s">
        <v>55</v>
      </c>
      <c r="E44" s="2" t="s">
        <v>198</v>
      </c>
      <c r="F44" s="13" t="b">
        <f>FALSE()</f>
        <v>0</v>
      </c>
      <c r="G44" s="13">
        <v>10</v>
      </c>
      <c r="H44" s="13" t="s">
        <v>23</v>
      </c>
      <c r="I44" s="13" t="s">
        <v>652</v>
      </c>
      <c r="J44" s="13" t="s">
        <v>653</v>
      </c>
      <c r="K44" s="14" t="s">
        <v>58</v>
      </c>
      <c r="L44" s="14"/>
      <c r="M44" s="14" t="s">
        <v>119</v>
      </c>
      <c r="N44" s="12">
        <f t="shared" si="2"/>
        <v>0</v>
      </c>
      <c r="O44" s="5" t="str">
        <f t="shared" si="3"/>
        <v/>
      </c>
      <c r="P44" s="15">
        <v>5</v>
      </c>
      <c r="Q44" s="15">
        <v>5</v>
      </c>
      <c r="R44" s="15">
        <v>5</v>
      </c>
      <c r="S44" s="15">
        <v>5</v>
      </c>
      <c r="T44" s="15">
        <v>3</v>
      </c>
      <c r="U44" s="12" t="s">
        <v>654</v>
      </c>
    </row>
    <row r="45" spans="1:21" ht="135.75" customHeight="1" x14ac:dyDescent="0.25">
      <c r="A45" s="12">
        <v>1132</v>
      </c>
      <c r="B45" s="12">
        <v>901</v>
      </c>
      <c r="C45" s="12">
        <v>1</v>
      </c>
      <c r="D45" s="12" t="s">
        <v>30</v>
      </c>
      <c r="E45" s="2" t="s">
        <v>201</v>
      </c>
      <c r="F45" s="13" t="b">
        <f>FALSE()</f>
        <v>0</v>
      </c>
      <c r="G45" s="13">
        <v>7</v>
      </c>
      <c r="H45" s="13" t="s">
        <v>32</v>
      </c>
      <c r="I45" s="13" t="s">
        <v>655</v>
      </c>
      <c r="J45" s="13" t="s">
        <v>656</v>
      </c>
      <c r="K45" s="14" t="s">
        <v>32</v>
      </c>
      <c r="L45" s="14">
        <v>9</v>
      </c>
      <c r="M45" s="14" t="s">
        <v>204</v>
      </c>
      <c r="N45" s="12">
        <f t="shared" si="2"/>
        <v>1</v>
      </c>
      <c r="O45" s="5">
        <f t="shared" si="3"/>
        <v>0</v>
      </c>
      <c r="P45" s="15">
        <v>2</v>
      </c>
      <c r="Q45" s="15">
        <v>5</v>
      </c>
      <c r="R45" s="15">
        <v>4</v>
      </c>
      <c r="S45" s="15">
        <v>5</v>
      </c>
      <c r="T45" s="15">
        <v>3</v>
      </c>
      <c r="U45" s="12" t="s">
        <v>657</v>
      </c>
    </row>
    <row r="46" spans="1:21" ht="135.75" customHeight="1" x14ac:dyDescent="0.25">
      <c r="A46" s="12">
        <v>1132</v>
      </c>
      <c r="B46" s="12">
        <v>902</v>
      </c>
      <c r="C46" s="12">
        <v>1</v>
      </c>
      <c r="D46" s="12" t="s">
        <v>206</v>
      </c>
      <c r="E46" s="2" t="s">
        <v>207</v>
      </c>
      <c r="F46" s="13" t="b">
        <f>FALSE()</f>
        <v>0</v>
      </c>
      <c r="G46" s="13">
        <v>4</v>
      </c>
      <c r="H46" s="13" t="s">
        <v>23</v>
      </c>
      <c r="I46" s="13" t="s">
        <v>658</v>
      </c>
      <c r="J46" s="13" t="s">
        <v>659</v>
      </c>
      <c r="K46" s="14" t="s">
        <v>23</v>
      </c>
      <c r="L46" s="14">
        <v>4</v>
      </c>
      <c r="M46" s="14" t="s">
        <v>210</v>
      </c>
      <c r="N46" s="12">
        <f t="shared" si="2"/>
        <v>1</v>
      </c>
      <c r="O46" s="5">
        <f t="shared" si="3"/>
        <v>1</v>
      </c>
      <c r="P46" s="15">
        <v>1</v>
      </c>
      <c r="Q46" s="15">
        <v>5</v>
      </c>
      <c r="R46" s="15">
        <v>3</v>
      </c>
      <c r="S46" s="15">
        <v>5</v>
      </c>
      <c r="T46" s="15">
        <v>3</v>
      </c>
      <c r="U46" s="12" t="s">
        <v>660</v>
      </c>
    </row>
    <row r="47" spans="1:21" ht="79.5" customHeight="1" x14ac:dyDescent="0.25">
      <c r="A47" s="12">
        <v>1153</v>
      </c>
      <c r="B47" s="12">
        <v>903</v>
      </c>
      <c r="C47" s="12">
        <v>1</v>
      </c>
      <c r="D47" s="12" t="s">
        <v>30</v>
      </c>
      <c r="E47" s="2" t="s">
        <v>212</v>
      </c>
      <c r="F47" s="13" t="b">
        <f>FALSE()</f>
        <v>0</v>
      </c>
      <c r="G47" s="13">
        <v>3</v>
      </c>
      <c r="H47" s="13" t="s">
        <v>32</v>
      </c>
      <c r="I47" s="13" t="s">
        <v>661</v>
      </c>
      <c r="J47" s="13" t="s">
        <v>662</v>
      </c>
      <c r="K47" s="14" t="s">
        <v>32</v>
      </c>
      <c r="L47" s="14">
        <v>2</v>
      </c>
      <c r="M47" s="14" t="s">
        <v>215</v>
      </c>
      <c r="N47" s="12">
        <f t="shared" si="2"/>
        <v>1</v>
      </c>
      <c r="O47" s="5">
        <f t="shared" si="3"/>
        <v>0</v>
      </c>
      <c r="P47" s="15">
        <v>3</v>
      </c>
      <c r="Q47" s="15">
        <v>5</v>
      </c>
      <c r="R47" s="15">
        <v>5</v>
      </c>
      <c r="S47" s="15">
        <v>5</v>
      </c>
      <c r="T47" s="15">
        <v>3</v>
      </c>
      <c r="U47" s="12" t="s">
        <v>663</v>
      </c>
    </row>
    <row r="48" spans="1:21" ht="79.5" customHeight="1" x14ac:dyDescent="0.25">
      <c r="A48" s="12">
        <v>1153</v>
      </c>
      <c r="B48" s="12">
        <v>904</v>
      </c>
      <c r="C48" s="12">
        <v>1</v>
      </c>
      <c r="D48" s="12" t="s">
        <v>30</v>
      </c>
      <c r="E48" s="2" t="s">
        <v>217</v>
      </c>
      <c r="F48" s="13" t="b">
        <f>FALSE()</f>
        <v>0</v>
      </c>
      <c r="G48" s="13">
        <v>3</v>
      </c>
      <c r="H48" s="13" t="s">
        <v>23</v>
      </c>
      <c r="I48" s="13" t="s">
        <v>664</v>
      </c>
      <c r="J48" s="13" t="s">
        <v>665</v>
      </c>
      <c r="K48" s="14" t="s">
        <v>32</v>
      </c>
      <c r="L48" s="14">
        <v>4</v>
      </c>
      <c r="M48" s="14" t="s">
        <v>220</v>
      </c>
      <c r="N48" s="12">
        <f t="shared" si="2"/>
        <v>0</v>
      </c>
      <c r="O48" s="5">
        <f t="shared" si="3"/>
        <v>0</v>
      </c>
      <c r="P48" s="15">
        <v>5</v>
      </c>
      <c r="Q48" s="15">
        <v>5</v>
      </c>
      <c r="R48" s="15">
        <v>5</v>
      </c>
      <c r="S48" s="15">
        <v>5</v>
      </c>
      <c r="T48" s="15">
        <v>3</v>
      </c>
      <c r="U48" s="12" t="s">
        <v>666</v>
      </c>
    </row>
    <row r="49" spans="1:21" ht="225" customHeight="1" x14ac:dyDescent="0.25">
      <c r="A49" s="12">
        <v>1828</v>
      </c>
      <c r="B49" s="12">
        <v>905</v>
      </c>
      <c r="C49" s="12">
        <v>1</v>
      </c>
      <c r="D49" s="12" t="s">
        <v>222</v>
      </c>
      <c r="E49" s="2" t="s">
        <v>223</v>
      </c>
      <c r="F49" s="13" t="b">
        <f>FALSE()</f>
        <v>0</v>
      </c>
      <c r="G49" s="13">
        <v>7</v>
      </c>
      <c r="H49" s="13" t="s">
        <v>23</v>
      </c>
      <c r="I49" s="13" t="s">
        <v>667</v>
      </c>
      <c r="J49" s="13" t="s">
        <v>668</v>
      </c>
      <c r="K49" s="14" t="s">
        <v>32</v>
      </c>
      <c r="L49" s="14">
        <v>7</v>
      </c>
      <c r="M49" s="14" t="s">
        <v>226</v>
      </c>
      <c r="N49" s="12">
        <f t="shared" si="2"/>
        <v>0</v>
      </c>
      <c r="O49" s="5">
        <f t="shared" si="3"/>
        <v>1</v>
      </c>
      <c r="P49" s="15">
        <v>4</v>
      </c>
      <c r="Q49" s="15">
        <v>5</v>
      </c>
      <c r="R49" s="15">
        <v>4</v>
      </c>
      <c r="S49" s="15">
        <v>5</v>
      </c>
      <c r="T49" s="15">
        <v>3</v>
      </c>
      <c r="U49" s="12" t="s">
        <v>669</v>
      </c>
    </row>
    <row r="50" spans="1:21" ht="202.5" customHeight="1" x14ac:dyDescent="0.25">
      <c r="A50" s="12">
        <v>1828</v>
      </c>
      <c r="B50" s="12">
        <v>906</v>
      </c>
      <c r="C50" s="12">
        <v>1</v>
      </c>
      <c r="D50" s="12" t="s">
        <v>21</v>
      </c>
      <c r="E50" s="2" t="s">
        <v>228</v>
      </c>
      <c r="F50" s="13" t="b">
        <f>FALSE()</f>
        <v>0</v>
      </c>
      <c r="G50" s="13">
        <v>4</v>
      </c>
      <c r="H50" s="13" t="s">
        <v>23</v>
      </c>
      <c r="I50" s="13" t="s">
        <v>670</v>
      </c>
      <c r="J50" s="13" t="s">
        <v>671</v>
      </c>
      <c r="K50" s="14" t="s">
        <v>39</v>
      </c>
      <c r="L50" s="14">
        <v>6</v>
      </c>
      <c r="M50" s="14" t="s">
        <v>231</v>
      </c>
      <c r="N50" s="12">
        <f t="shared" si="2"/>
        <v>0</v>
      </c>
      <c r="O50" s="5">
        <f t="shared" si="3"/>
        <v>0</v>
      </c>
      <c r="P50" s="15">
        <v>3</v>
      </c>
      <c r="Q50" s="15">
        <v>5</v>
      </c>
      <c r="R50" s="15">
        <v>4</v>
      </c>
      <c r="S50" s="15">
        <v>5</v>
      </c>
      <c r="T50" s="15">
        <v>3</v>
      </c>
      <c r="U50" s="12" t="s">
        <v>672</v>
      </c>
    </row>
    <row r="51" spans="1:21" ht="225" customHeight="1" x14ac:dyDescent="0.25">
      <c r="A51" s="12">
        <v>1873</v>
      </c>
      <c r="B51" s="12">
        <v>907</v>
      </c>
      <c r="C51" s="12">
        <v>1</v>
      </c>
      <c r="D51" s="12" t="s">
        <v>233</v>
      </c>
      <c r="E51" s="2" t="s">
        <v>234</v>
      </c>
      <c r="F51" s="13" t="b">
        <f>FALSE()</f>
        <v>0</v>
      </c>
      <c r="G51" s="13">
        <v>8</v>
      </c>
      <c r="H51" s="13" t="s">
        <v>23</v>
      </c>
      <c r="I51" s="13" t="s">
        <v>673</v>
      </c>
      <c r="J51" s="13" t="s">
        <v>674</v>
      </c>
      <c r="K51" s="14" t="s">
        <v>32</v>
      </c>
      <c r="L51" s="14">
        <v>19</v>
      </c>
      <c r="M51" s="14" t="s">
        <v>237</v>
      </c>
      <c r="N51" s="12">
        <f t="shared" si="2"/>
        <v>0</v>
      </c>
      <c r="O51" s="5">
        <f t="shared" si="3"/>
        <v>0</v>
      </c>
      <c r="P51" s="15">
        <v>2</v>
      </c>
      <c r="Q51" s="15">
        <v>5</v>
      </c>
      <c r="R51" s="15">
        <v>4</v>
      </c>
      <c r="S51" s="15">
        <v>5</v>
      </c>
      <c r="T51" s="15">
        <v>3</v>
      </c>
      <c r="U51" s="12" t="s">
        <v>675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1"/>
  <sheetViews>
    <sheetView zoomScaleNormal="100" workbookViewId="0">
      <selection activeCell="B5" sqref="B5"/>
    </sheetView>
  </sheetViews>
  <sheetFormatPr defaultColWidth="8.7109375" defaultRowHeight="15" x14ac:dyDescent="0.25"/>
  <cols>
    <col min="1" max="1" width="28" customWidth="1"/>
    <col min="2" max="2" width="90" customWidth="1"/>
  </cols>
  <sheetData>
    <row r="1" spans="1:2" ht="19.5" customHeight="1" x14ac:dyDescent="0.25">
      <c r="A1" s="17" t="s">
        <v>676</v>
      </c>
      <c r="B1" s="17" t="s">
        <v>677</v>
      </c>
    </row>
    <row r="2" spans="1:2" ht="30" customHeight="1" x14ac:dyDescent="0.25">
      <c r="A2" s="18" t="s">
        <v>678</v>
      </c>
      <c r="B2" s="19" t="s">
        <v>679</v>
      </c>
    </row>
    <row r="3" spans="1:2" ht="30" customHeight="1" x14ac:dyDescent="0.25">
      <c r="A3" s="18" t="s">
        <v>680</v>
      </c>
      <c r="B3" s="20" t="s">
        <v>681</v>
      </c>
    </row>
    <row r="4" spans="1:2" ht="30" customHeight="1" x14ac:dyDescent="0.25">
      <c r="A4" s="18" t="s">
        <v>12</v>
      </c>
      <c r="B4" s="20" t="s">
        <v>682</v>
      </c>
    </row>
    <row r="5" spans="1:2" ht="30" customHeight="1" x14ac:dyDescent="0.25">
      <c r="A5" s="18" t="s">
        <v>13</v>
      </c>
      <c r="B5" s="19" t="s">
        <v>683</v>
      </c>
    </row>
    <row r="6" spans="1:2" ht="30" customHeight="1" x14ac:dyDescent="0.25">
      <c r="A6" s="18" t="s">
        <v>684</v>
      </c>
      <c r="B6" s="19" t="s">
        <v>685</v>
      </c>
    </row>
    <row r="7" spans="1:2" ht="30" customHeight="1" x14ac:dyDescent="0.25">
      <c r="A7" s="18" t="s">
        <v>686</v>
      </c>
      <c r="B7" s="19" t="s">
        <v>687</v>
      </c>
    </row>
    <row r="8" spans="1:2" ht="30" customHeight="1" x14ac:dyDescent="0.25">
      <c r="A8" s="18" t="s">
        <v>688</v>
      </c>
      <c r="B8" s="19" t="s">
        <v>689</v>
      </c>
    </row>
    <row r="9" spans="1:2" ht="30" customHeight="1" x14ac:dyDescent="0.25">
      <c r="A9" s="18" t="s">
        <v>690</v>
      </c>
      <c r="B9" s="19" t="s">
        <v>691</v>
      </c>
    </row>
    <row r="10" spans="1:2" ht="30" customHeight="1" x14ac:dyDescent="0.25">
      <c r="A10" s="18" t="s">
        <v>692</v>
      </c>
      <c r="B10" s="19" t="s">
        <v>693</v>
      </c>
    </row>
    <row r="11" spans="1:2" ht="30" customHeight="1" x14ac:dyDescent="0.25">
      <c r="A11" s="18" t="s">
        <v>20</v>
      </c>
      <c r="B11" s="19" t="s">
        <v>694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7"/>
  <sheetViews>
    <sheetView zoomScaleNormal="100" workbookViewId="0"/>
  </sheetViews>
  <sheetFormatPr defaultColWidth="8.7109375" defaultRowHeight="15" x14ac:dyDescent="0.25"/>
  <cols>
    <col min="1" max="1" width="46" customWidth="1"/>
    <col min="2" max="5" width="19" customWidth="1"/>
  </cols>
  <sheetData>
    <row r="1" spans="1:3" ht="42" customHeight="1" x14ac:dyDescent="0.25">
      <c r="A1" s="1" t="s">
        <v>695</v>
      </c>
      <c r="B1" s="1" t="s">
        <v>696</v>
      </c>
      <c r="C1" s="1" t="s">
        <v>697</v>
      </c>
    </row>
    <row r="2" spans="1:3" x14ac:dyDescent="0.25">
      <c r="A2" s="18" t="s">
        <v>698</v>
      </c>
      <c r="B2" s="21">
        <f>COUNT(Gemini_P3_LoT!N2:N51)</f>
        <v>50</v>
      </c>
      <c r="C2" s="21">
        <f>COUNT(Qwen_P3_LoT!N2:N51)</f>
        <v>50</v>
      </c>
    </row>
    <row r="3" spans="1:3" x14ac:dyDescent="0.25">
      <c r="A3" s="18" t="s">
        <v>699</v>
      </c>
      <c r="B3" s="21">
        <f>IFERROR(AVERAGE(Gemini_P3_LoT!N2:N51),"")</f>
        <v>0.96</v>
      </c>
      <c r="C3" s="21">
        <f>IFERROR(AVERAGE(Qwen_P3_LoT!N2:N51),"")</f>
        <v>0.48</v>
      </c>
    </row>
    <row r="4" spans="1:3" x14ac:dyDescent="0.25">
      <c r="A4" s="18" t="s">
        <v>700</v>
      </c>
      <c r="B4" s="21">
        <f>COUNT(Gemini_P3_LoT!O2:O51)</f>
        <v>38</v>
      </c>
      <c r="C4" s="21">
        <f>COUNT(Qwen_P3_LoT!O2:O51)</f>
        <v>38</v>
      </c>
    </row>
    <row r="5" spans="1:3" x14ac:dyDescent="0.25">
      <c r="A5" s="18" t="s">
        <v>701</v>
      </c>
      <c r="B5" s="21">
        <f>IFERROR(AVERAGE(Gemini_P3_LoT!O2:O51),"")</f>
        <v>0.84210526315789469</v>
      </c>
      <c r="C5" s="21">
        <f>IFERROR(AVERAGE(Qwen_P3_LoT!O2:O51),"")</f>
        <v>0.15789473684210525</v>
      </c>
    </row>
    <row r="6" spans="1:3" x14ac:dyDescent="0.25">
      <c r="A6" s="18" t="s">
        <v>702</v>
      </c>
      <c r="B6" s="21">
        <f>IFERROR(SUMPRODUCT((Gemini_P3_LoT!K2:K51&lt;&gt;"")*(Gemini_P3_LoT!K2:K51&lt;&gt;"Nenhum (código correto)")*(Gemini_P3_LoT!H2:H51=Gemini_P3_LoT!K2:K51)*(Gemini_P3_LoT!G2:G51=Gemini_P3_LoT!L2:L51))/COUNT(Gemini_P3_LoT!O2:O51),"")</f>
        <v>0.78947368421052633</v>
      </c>
      <c r="C6" s="21">
        <f>IFERROR(SUMPRODUCT((Qwen_P3_LoT!K2:K51&lt;&gt;"")*(Qwen_P3_LoT!K2:K51&lt;&gt;"Nenhum (código correto)")*(Qwen_P3_LoT!H2:H51=Qwen_P3_LoT!K2:K51)*(Qwen_P3_LoT!G2:G51=Qwen_P3_LoT!L2:L51))/COUNT(Qwen_P3_LoT!O2:O51),"")</f>
        <v>0</v>
      </c>
    </row>
    <row r="7" spans="1:3" x14ac:dyDescent="0.25">
      <c r="A7" s="18" t="s">
        <v>703</v>
      </c>
      <c r="B7" s="21">
        <f>IFERROR(AVERAGE(Gemini_P3_LoT!P2:P51),"")</f>
        <v>4.5999999999999996</v>
      </c>
      <c r="C7" s="21">
        <f>IFERROR(AVERAGE(Qwen_P3_LoT!P2:P51),"")</f>
        <v>3.76</v>
      </c>
    </row>
    <row r="8" spans="1:3" x14ac:dyDescent="0.25">
      <c r="A8" s="18" t="s">
        <v>704</v>
      </c>
      <c r="B8" s="21">
        <f>IFERROR(AVERAGE(Gemini_P3_LoT!Q2:Q51),"")</f>
        <v>5</v>
      </c>
      <c r="C8" s="21">
        <f>IFERROR(AVERAGE(Qwen_P3_LoT!Q2:Q51),"")</f>
        <v>4.9800000000000004</v>
      </c>
    </row>
    <row r="9" spans="1:3" x14ac:dyDescent="0.25">
      <c r="A9" s="18" t="s">
        <v>705</v>
      </c>
      <c r="B9" s="21">
        <f>IFERROR(AVERAGE(Gemini_P3_LoT!R2:R51),"")</f>
        <v>4.62</v>
      </c>
      <c r="C9" s="21">
        <f>IFERROR(AVERAGE(Qwen_P3_LoT!R2:R51),"")</f>
        <v>3.86</v>
      </c>
    </row>
    <row r="10" spans="1:3" x14ac:dyDescent="0.25">
      <c r="A10" s="18" t="s">
        <v>706</v>
      </c>
      <c r="B10" s="21">
        <f>IFERROR(AVERAGE(Gemini_P3_LoT!S2:S51),"")</f>
        <v>4.96</v>
      </c>
      <c r="C10" s="21">
        <f>IFERROR(AVERAGE(Qwen_P3_LoT!S2:S51),"")</f>
        <v>4.74</v>
      </c>
    </row>
    <row r="11" spans="1:3" x14ac:dyDescent="0.25">
      <c r="A11" s="18" t="s">
        <v>707</v>
      </c>
      <c r="B11" s="21">
        <f>IFERROR(AVERAGE(Gemini_P3_LoT!T2:T51),"")</f>
        <v>3.74</v>
      </c>
      <c r="C11" s="21">
        <f>IFERROR(AVERAGE(Qwen_P3_LoT!T2:T51),"")</f>
        <v>3.24</v>
      </c>
    </row>
    <row r="13" spans="1:3" x14ac:dyDescent="0.25">
      <c r="A13" s="22" t="s">
        <v>708</v>
      </c>
    </row>
    <row r="14" spans="1:3" x14ac:dyDescent="0.25">
      <c r="A14" s="21" t="s">
        <v>709</v>
      </c>
      <c r="B14" s="21">
        <f>COUNTIF(Gemini_P3_LoT!K2:K51,"Nenhum (código correto)")</f>
        <v>12</v>
      </c>
      <c r="C14" s="21">
        <f>COUNTIF(Qwen_P3_LoT!K2:K51,"Nenhum (código correto)")</f>
        <v>12</v>
      </c>
    </row>
    <row r="15" spans="1:3" x14ac:dyDescent="0.25">
      <c r="A15" s="21" t="s">
        <v>710</v>
      </c>
      <c r="B15" s="21">
        <f>SUMPRODUCT((Gemini_P3_LoT!K2:K51="Nenhum (código correto)")*(Gemini_P3_LoT!H2:H51&lt;&gt;"")*(Gemini_P3_LoT!H2:H51&lt;&gt;"Nenhum (código correto)"))</f>
        <v>0</v>
      </c>
      <c r="C15" s="21">
        <f>SUMPRODUCT((Qwen_P3_LoT!K2:K51="Nenhum (código correto)")*(Qwen_P3_LoT!H2:H51&lt;&gt;"")*(Qwen_P3_LoT!H2:H51&lt;&gt;"Nenhum (código correto)"))</f>
        <v>7</v>
      </c>
    </row>
    <row r="16" spans="1:3" x14ac:dyDescent="0.25">
      <c r="A16" s="21" t="s">
        <v>711</v>
      </c>
      <c r="B16" s="21">
        <f>SUMPRODUCT((Gemini_P3_LoT!K2:K51&lt;&gt;"Nenhum (código correto)")*(Gemini_P3_LoT!K2:K51&lt;&gt;"")*(Gemini_P3_LoT!H2:H51="Nenhum (código correto)"))</f>
        <v>0</v>
      </c>
      <c r="C16" s="21">
        <f>SUMPRODUCT((Qwen_P3_LoT!K2:K51&lt;&gt;"Nenhum (código correto)")*(Qwen_P3_LoT!K2:K51&lt;&gt;"")*(Qwen_P3_LoT!H2:H51="Nenhum (código correto)"))</f>
        <v>0</v>
      </c>
    </row>
    <row r="18" spans="1:5" x14ac:dyDescent="0.25">
      <c r="A18" s="22" t="s">
        <v>712</v>
      </c>
    </row>
    <row r="19" spans="1:5" x14ac:dyDescent="0.25">
      <c r="A19" s="21" t="s">
        <v>713</v>
      </c>
      <c r="B19" s="21">
        <f>IFERROR(SUMPRODUCT((Gemini_P3_LoT!H2:H51&lt;&gt;"")*(Qwen_P3_LoT!H2:H51&lt;&gt;"")*(Gemini_P3_LoT!H2:H51=Qwen_P3_LoT!H2:H51))/SUMPRODUCT((Gemini_P3_LoT!H2:H51&lt;&gt;"")*(Qwen_P3_LoT!H2:H51&lt;&gt;"")),"")</f>
        <v>0.52</v>
      </c>
    </row>
    <row r="20" spans="1:5" x14ac:dyDescent="0.25">
      <c r="A20" s="21" t="s">
        <v>714</v>
      </c>
      <c r="B20" s="21">
        <f>IFERROR(SUMPRODUCT((Gemini_P3_LoT!G2:G51&lt;&gt;"")*(Qwen_P3_LoT!G2:G51&lt;&gt;"")*(Gemini_P3_LoT!G2:G51=Qwen_P3_LoT!G2:G51))/SUMPRODUCT((Gemini_P3_LoT!G2:G51&lt;&gt;"")*(Qwen_P3_LoT!G2:G51&lt;&gt;"")),"")</f>
        <v>0.22</v>
      </c>
    </row>
    <row r="22" spans="1:5" x14ac:dyDescent="0.25">
      <c r="A22" s="22" t="s">
        <v>715</v>
      </c>
    </row>
    <row r="23" spans="1:5" x14ac:dyDescent="0.25">
      <c r="A23" s="18" t="s">
        <v>716</v>
      </c>
      <c r="B23" s="18" t="s">
        <v>717</v>
      </c>
      <c r="C23" s="18" t="s">
        <v>718</v>
      </c>
      <c r="D23" s="18" t="s">
        <v>719</v>
      </c>
      <c r="E23" s="18" t="s">
        <v>720</v>
      </c>
    </row>
    <row r="24" spans="1:5" x14ac:dyDescent="0.25">
      <c r="A24" s="21">
        <v>1132</v>
      </c>
      <c r="B24" s="21">
        <f>IFERROR(AVERAGEIF(Gemini_P3_LoT!A2:A51,1132,Gemini_P3_LoT!N2:N51),"")</f>
        <v>0.875</v>
      </c>
      <c r="C24" s="21">
        <f>IFERROR(AVERAGEIF(Qwen_P3_LoT!A2:A51,1132,Qwen_P3_LoT!N2:N51),"")</f>
        <v>0.5</v>
      </c>
      <c r="D24" s="21">
        <f>IFERROR(AVERAGEIF(Gemini_P3_LoT!A2:A51,1132,Gemini_P3_LoT!O2:O51),"")</f>
        <v>0.91666666666666663</v>
      </c>
      <c r="E24" s="21">
        <f>IFERROR(AVERAGEIF(Qwen_P3_LoT!A2:A51,1132,Qwen_P3_LoT!O2:O51),"")</f>
        <v>0.25</v>
      </c>
    </row>
    <row r="25" spans="1:5" x14ac:dyDescent="0.25">
      <c r="A25" s="21">
        <v>1153</v>
      </c>
      <c r="B25" s="21">
        <f>IFERROR(AVERAGEIF(Gemini_P3_LoT!A2:A51,1153,Gemini_P3_LoT!N2:N51),"")</f>
        <v>1</v>
      </c>
      <c r="C25" s="21">
        <f>IFERROR(AVERAGEIF(Qwen_P3_LoT!A2:A51,1153,Qwen_P3_LoT!N2:N51),"")</f>
        <v>0.8571428571428571</v>
      </c>
      <c r="D25" s="21">
        <f>IFERROR(AVERAGEIF(Gemini_P3_LoT!A2:A51,1153,Gemini_P3_LoT!O2:O51),"")</f>
        <v>1</v>
      </c>
      <c r="E25" s="21">
        <f>IFERROR(AVERAGEIF(Qwen_P3_LoT!A2:A51,1153,Qwen_P3_LoT!O2:O51),"")</f>
        <v>0</v>
      </c>
    </row>
    <row r="26" spans="1:5" x14ac:dyDescent="0.25">
      <c r="A26" s="21">
        <v>1828</v>
      </c>
      <c r="B26" s="21">
        <f>IFERROR(AVERAGEIF(Gemini_P3_LoT!A2:A51,1828,Gemini_P3_LoT!N2:N51),"")</f>
        <v>1</v>
      </c>
      <c r="C26" s="21">
        <f>IFERROR(AVERAGEIF(Qwen_P3_LoT!A2:A51,1828,Qwen_P3_LoT!N2:N51),"")</f>
        <v>0.44444444444444442</v>
      </c>
      <c r="D26" s="21">
        <f>IFERROR(AVERAGEIF(Gemini_P3_LoT!A2:A51,1828,Gemini_P3_LoT!O2:O51),"")</f>
        <v>1</v>
      </c>
      <c r="E26" s="21">
        <f>IFERROR(AVERAGEIF(Qwen_P3_LoT!A2:A51,1828,Qwen_P3_LoT!O2:O51),"")</f>
        <v>0</v>
      </c>
    </row>
    <row r="27" spans="1:5" x14ac:dyDescent="0.25">
      <c r="A27" s="21">
        <v>1873</v>
      </c>
      <c r="B27" s="21">
        <f>IFERROR(AVERAGEIF(Gemini_P3_LoT!A2:A51,1873,Gemini_P3_LoT!N2:N51),"")</f>
        <v>1</v>
      </c>
      <c r="C27" s="21">
        <f>IFERROR(AVERAGEIF(Qwen_P3_LoT!A2:A51,1873,Qwen_P3_LoT!N2:N51),"")</f>
        <v>0.33333333333333331</v>
      </c>
      <c r="D27" s="21">
        <f>IFERROR(AVERAGEIF(Gemini_P3_LoT!A2:A51,1873,Gemini_P3_LoT!O2:O51),"")</f>
        <v>0.6875</v>
      </c>
      <c r="E27" s="21">
        <f>IFERROR(AVERAGEIF(Qwen_P3_LoT!A2:A51,1873,Qwen_P3_LoT!O2:O51),"")</f>
        <v>0.1875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8"/>
  <sheetViews>
    <sheetView zoomScaleNormal="100" workbookViewId="0"/>
  </sheetViews>
  <sheetFormatPr defaultColWidth="8.7109375" defaultRowHeight="15" x14ac:dyDescent="0.25"/>
  <cols>
    <col min="1" max="1" width="46" customWidth="1"/>
    <col min="2" max="4" width="21" customWidth="1"/>
  </cols>
  <sheetData>
    <row r="1" spans="1:4" ht="42" customHeight="1" x14ac:dyDescent="0.25">
      <c r="A1" s="1" t="s">
        <v>721</v>
      </c>
      <c r="B1" s="1" t="s">
        <v>722</v>
      </c>
      <c r="C1" s="1" t="s">
        <v>723</v>
      </c>
      <c r="D1" s="1" t="s">
        <v>724</v>
      </c>
    </row>
    <row r="2" spans="1:4" x14ac:dyDescent="0.25">
      <c r="A2" s="18" t="s">
        <v>698</v>
      </c>
      <c r="B2" s="21">
        <f>COUNT(Qwen_P0_Baseline!N2:N51)</f>
        <v>50</v>
      </c>
      <c r="C2" s="21">
        <f>COUNT(Qwen_P2_RegrasTestes!N2:N51)</f>
        <v>50</v>
      </c>
      <c r="D2" s="21">
        <f>COUNT(Qwen_P3_LoT!N2:N51)</f>
        <v>50</v>
      </c>
    </row>
    <row r="3" spans="1:4" x14ac:dyDescent="0.25">
      <c r="A3" s="18" t="s">
        <v>699</v>
      </c>
      <c r="B3" s="21">
        <f>IFERROR(AVERAGE(Qwen_P0_Baseline!N2:N51),"")</f>
        <v>0.5</v>
      </c>
      <c r="C3" s="21">
        <f>IFERROR(AVERAGE(Qwen_P2_RegrasTestes!N2:N51),"")</f>
        <v>0.28000000000000003</v>
      </c>
      <c r="D3" s="21">
        <f>IFERROR(AVERAGE(Qwen_P3_LoT!N2:N51),"")</f>
        <v>0.48</v>
      </c>
    </row>
    <row r="4" spans="1:4" x14ac:dyDescent="0.25">
      <c r="A4" s="18" t="s">
        <v>700</v>
      </c>
      <c r="B4" s="21">
        <f>COUNT(Qwen_P0_Baseline!O2:O51)</f>
        <v>38</v>
      </c>
      <c r="C4" s="21">
        <f>COUNT(Qwen_P2_RegrasTestes!O2:O51)</f>
        <v>38</v>
      </c>
      <c r="D4" s="21">
        <f>COUNT(Qwen_P3_LoT!O2:O51)</f>
        <v>38</v>
      </c>
    </row>
    <row r="5" spans="1:4" x14ac:dyDescent="0.25">
      <c r="A5" s="18" t="s">
        <v>701</v>
      </c>
      <c r="B5" s="21">
        <f>IFERROR(AVERAGE(Qwen_P0_Baseline!O2:O51),"")</f>
        <v>0.18421052631578946</v>
      </c>
      <c r="C5" s="21">
        <f>IFERROR(AVERAGE(Qwen_P2_RegrasTestes!O2:O51),"")</f>
        <v>0.21052631578947367</v>
      </c>
      <c r="D5" s="21">
        <f>IFERROR(AVERAGE(Qwen_P3_LoT!O2:O51),"")</f>
        <v>0.15789473684210525</v>
      </c>
    </row>
    <row r="6" spans="1:4" x14ac:dyDescent="0.25">
      <c r="A6" s="18" t="s">
        <v>702</v>
      </c>
      <c r="B6" s="21">
        <f>IFERROR(SUMPRODUCT((Qwen_P0_Baseline!K2:K51&lt;&gt;"")*(Qwen_P0_Baseline!K2:K51&lt;&gt;"Nenhum (código correto)")*(Qwen_P0_Baseline!H2:H51=Qwen_P0_Baseline!K2:K51)*(Qwen_P0_Baseline!G2:G51=Qwen_P0_Baseline!L2:L51))/COUNT(Qwen_P0_Baseline!O2:O51),"")</f>
        <v>5.2631578947368418E-2</v>
      </c>
      <c r="C6" s="21">
        <f>IFERROR(SUMPRODUCT((Qwen_P2_RegrasTestes!K2:K51&lt;&gt;"")*(Qwen_P2_RegrasTestes!K2:K51&lt;&gt;"Nenhum (código correto)")*(Qwen_P2_RegrasTestes!H2:H51=Qwen_P2_RegrasTestes!K2:K51)*(Qwen_P2_RegrasTestes!G2:G51=Qwen_P2_RegrasTestes!L2:L51))/COUNT(Qwen_P2_RegrasTestes!O2:O51),"")</f>
        <v>7.8947368421052627E-2</v>
      </c>
      <c r="D6" s="21">
        <f>IFERROR(SUMPRODUCT((Qwen_P3_LoT!K2:K51&lt;&gt;"")*(Qwen_P3_LoT!K2:K51&lt;&gt;"Nenhum (código correto)")*(Qwen_P3_LoT!H2:H51=Qwen_P3_LoT!K2:K51)*(Qwen_P3_LoT!G2:G51=Qwen_P3_LoT!L2:L51))/COUNT(Qwen_P3_LoT!O2:O51),"")</f>
        <v>0</v>
      </c>
    </row>
    <row r="7" spans="1:4" x14ac:dyDescent="0.25">
      <c r="A7" s="18" t="s">
        <v>703</v>
      </c>
      <c r="B7" s="21">
        <f>IFERROR(AVERAGE(Qwen_P0_Baseline!P2:P51),"")</f>
        <v>2.64</v>
      </c>
      <c r="C7" s="21">
        <f>IFERROR(AVERAGE(Qwen_P2_RegrasTestes!P2:P51),"")</f>
        <v>3.68</v>
      </c>
      <c r="D7" s="21">
        <f>IFERROR(AVERAGE(Qwen_P3_LoT!P2:P51),"")</f>
        <v>3.76</v>
      </c>
    </row>
    <row r="8" spans="1:4" x14ac:dyDescent="0.25">
      <c r="A8" s="18" t="s">
        <v>704</v>
      </c>
      <c r="B8" s="21">
        <f>IFERROR(AVERAGE(Qwen_P0_Baseline!Q2:Q51),"")</f>
        <v>4.18</v>
      </c>
      <c r="C8" s="21">
        <f>IFERROR(AVERAGE(Qwen_P2_RegrasTestes!Q2:Q51),"")</f>
        <v>5</v>
      </c>
      <c r="D8" s="21">
        <f>IFERROR(AVERAGE(Qwen_P3_LoT!Q2:Q51),"")</f>
        <v>4.9800000000000004</v>
      </c>
    </row>
    <row r="9" spans="1:4" x14ac:dyDescent="0.25">
      <c r="A9" s="18" t="s">
        <v>705</v>
      </c>
      <c r="B9" s="21">
        <f>IFERROR(AVERAGE(Qwen_P0_Baseline!R2:R51),"")</f>
        <v>1.48</v>
      </c>
      <c r="C9" s="21">
        <f>IFERROR(AVERAGE(Qwen_P2_RegrasTestes!R2:R51),"")</f>
        <v>4.0999999999999996</v>
      </c>
      <c r="D9" s="21">
        <f>IFERROR(AVERAGE(Qwen_P3_LoT!R2:R51),"")</f>
        <v>3.86</v>
      </c>
    </row>
    <row r="10" spans="1:4" x14ac:dyDescent="0.25">
      <c r="A10" s="18" t="s">
        <v>706</v>
      </c>
      <c r="B10" s="21">
        <f>IFERROR(AVERAGE(Qwen_P0_Baseline!S2:S51),"")</f>
        <v>4.2</v>
      </c>
      <c r="C10" s="21">
        <f>IFERROR(AVERAGE(Qwen_P2_RegrasTestes!S2:S51),"")</f>
        <v>4.78</v>
      </c>
      <c r="D10" s="21">
        <f>IFERROR(AVERAGE(Qwen_P3_LoT!S2:S51),"")</f>
        <v>4.74</v>
      </c>
    </row>
    <row r="11" spans="1:4" x14ac:dyDescent="0.25">
      <c r="A11" s="18" t="s">
        <v>707</v>
      </c>
      <c r="B11" s="21">
        <f>IFERROR(AVERAGE(Qwen_P0_Baseline!T2:T51),"")</f>
        <v>3.6</v>
      </c>
      <c r="C11" s="21">
        <f>IFERROR(AVERAGE(Qwen_P2_RegrasTestes!T2:T51),"")</f>
        <v>3.04</v>
      </c>
      <c r="D11" s="21">
        <f>IFERROR(AVERAGE(Qwen_P3_LoT!T2:T51),"")</f>
        <v>3.24</v>
      </c>
    </row>
    <row r="13" spans="1:4" x14ac:dyDescent="0.25">
      <c r="A13" s="22" t="s">
        <v>708</v>
      </c>
    </row>
    <row r="14" spans="1:4" x14ac:dyDescent="0.25">
      <c r="A14" s="21" t="s">
        <v>709</v>
      </c>
      <c r="B14" s="21">
        <f>COUNTIF(Qwen_P0_Baseline!K2:K51,"Nenhum (código correto)")</f>
        <v>12</v>
      </c>
      <c r="C14" s="21">
        <f>COUNTIF(Qwen_P2_RegrasTestes!K2:K51,"Nenhum (código correto)")</f>
        <v>12</v>
      </c>
      <c r="D14" s="21">
        <f>COUNTIF(Qwen_P3_LoT!K2:K51,"Nenhum (código correto)")</f>
        <v>12</v>
      </c>
    </row>
    <row r="15" spans="1:4" x14ac:dyDescent="0.25">
      <c r="A15" s="21" t="s">
        <v>710</v>
      </c>
      <c r="B15" s="21">
        <f>SUMPRODUCT((Qwen_P0_Baseline!K2:K51="Nenhum (código correto)")*(Qwen_P0_Baseline!H2:H51&lt;&gt;"")*(Qwen_P0_Baseline!H2:H51&lt;&gt;"Nenhum (código correto)"))</f>
        <v>3</v>
      </c>
      <c r="C15" s="21">
        <f>SUMPRODUCT((Qwen_P2_RegrasTestes!K2:K51="Nenhum (código correto)")*(Qwen_P2_RegrasTestes!H2:H51&lt;&gt;"")*(Qwen_P2_RegrasTestes!H2:H51&lt;&gt;"Nenhum (código correto)"))</f>
        <v>11</v>
      </c>
      <c r="D15" s="21">
        <f>SUMPRODUCT((Qwen_P3_LoT!K2:K51="Nenhum (código correto)")*(Qwen_P3_LoT!H2:H51&lt;&gt;"")*(Qwen_P3_LoT!H2:H51&lt;&gt;"Nenhum (código correto)"))</f>
        <v>7</v>
      </c>
    </row>
    <row r="16" spans="1:4" x14ac:dyDescent="0.25">
      <c r="A16" s="21" t="s">
        <v>711</v>
      </c>
      <c r="B16" s="21">
        <f>SUMPRODUCT((Qwen_P0_Baseline!K2:K51&lt;&gt;"Nenhum (código correto)")*(Qwen_P0_Baseline!K2:K51&lt;&gt;"")*(Qwen_P0_Baseline!H2:H51="Nenhum (código correto)"))</f>
        <v>6</v>
      </c>
      <c r="C16" s="21">
        <f>SUMPRODUCT((Qwen_P2_RegrasTestes!K2:K51&lt;&gt;"Nenhum (código correto)")*(Qwen_P2_RegrasTestes!K2:K51&lt;&gt;"")*(Qwen_P2_RegrasTestes!H2:H51="Nenhum (código correto)"))</f>
        <v>0</v>
      </c>
      <c r="D16" s="21">
        <f>SUMPRODUCT((Qwen_P3_LoT!K2:K51&lt;&gt;"Nenhum (código correto)")*(Qwen_P3_LoT!K2:K51&lt;&gt;"")*(Qwen_P3_LoT!H2:H51="Nenhum (código correto)"))</f>
        <v>0</v>
      </c>
    </row>
    <row r="18" spans="1:4" x14ac:dyDescent="0.25">
      <c r="A18" s="22" t="s">
        <v>725</v>
      </c>
    </row>
    <row r="19" spans="1:4" x14ac:dyDescent="0.25">
      <c r="A19" s="21" t="s">
        <v>726</v>
      </c>
      <c r="B19" s="21">
        <f>IFERROR(C3-B3,"")</f>
        <v>-0.21999999999999997</v>
      </c>
    </row>
    <row r="20" spans="1:4" x14ac:dyDescent="0.25">
      <c r="A20" s="21" t="s">
        <v>727</v>
      </c>
      <c r="B20" s="21">
        <f>IFERROR(D3-C3,"")</f>
        <v>0.19999999999999996</v>
      </c>
    </row>
    <row r="21" spans="1:4" x14ac:dyDescent="0.25">
      <c r="A21" s="21" t="s">
        <v>728</v>
      </c>
      <c r="B21" s="21">
        <f>IFERROR(C5-B5,"")</f>
        <v>2.6315789473684209E-2</v>
      </c>
    </row>
    <row r="22" spans="1:4" x14ac:dyDescent="0.25">
      <c r="A22" s="21" t="s">
        <v>729</v>
      </c>
      <c r="B22" s="21">
        <f>IFERROR(D5-C5,"")</f>
        <v>-5.2631578947368418E-2</v>
      </c>
    </row>
    <row r="23" spans="1:4" x14ac:dyDescent="0.25">
      <c r="A23" s="21" t="s">
        <v>730</v>
      </c>
      <c r="B23" s="21">
        <f>IFERROR(C7-B7,"")</f>
        <v>1.04</v>
      </c>
    </row>
    <row r="24" spans="1:4" x14ac:dyDescent="0.25">
      <c r="A24" s="21" t="s">
        <v>731</v>
      </c>
      <c r="B24" s="21">
        <f>IFERROR(C10-B10,"")</f>
        <v>0.58000000000000007</v>
      </c>
    </row>
    <row r="26" spans="1:4" x14ac:dyDescent="0.25">
      <c r="A26" s="22" t="s">
        <v>732</v>
      </c>
    </row>
    <row r="27" spans="1:4" x14ac:dyDescent="0.25">
      <c r="A27" s="18" t="s">
        <v>716</v>
      </c>
      <c r="B27" s="18" t="s">
        <v>733</v>
      </c>
      <c r="C27" s="18" t="s">
        <v>734</v>
      </c>
      <c r="D27" s="18" t="s">
        <v>735</v>
      </c>
    </row>
    <row r="28" spans="1:4" x14ac:dyDescent="0.25">
      <c r="A28" s="21">
        <v>1132</v>
      </c>
      <c r="B28" s="21">
        <f>IFERROR(AVERAGEIF(Qwen_P0_Baseline!A2:A51,1132,Qwen_P0_Baseline!N2:N51),"")</f>
        <v>0.4375</v>
      </c>
      <c r="C28" s="21">
        <f>IFERROR(AVERAGEIF(Qwen_P2_RegrasTestes!A2:A51,1132,Qwen_P2_RegrasTestes!N2:N51),"")</f>
        <v>0.25</v>
      </c>
      <c r="D28" s="21">
        <f>IFERROR(AVERAGEIF(Qwen_P3_LoT!A2:A51,1132,Qwen_P3_LoT!N2:N51),"")</f>
        <v>0.5</v>
      </c>
    </row>
    <row r="29" spans="1:4" x14ac:dyDescent="0.25">
      <c r="A29" s="21">
        <v>1153</v>
      </c>
      <c r="B29" s="21">
        <f>IFERROR(AVERAGEIF(Qwen_P0_Baseline!A2:A51,1153,Qwen_P0_Baseline!N2:N51),"")</f>
        <v>1</v>
      </c>
      <c r="C29" s="21">
        <f>IFERROR(AVERAGEIF(Qwen_P2_RegrasTestes!A2:A51,1153,Qwen_P2_RegrasTestes!N2:N51),"")</f>
        <v>0.5714285714285714</v>
      </c>
      <c r="D29" s="21">
        <f>IFERROR(AVERAGEIF(Qwen_P3_LoT!A2:A51,1153,Qwen_P3_LoT!N2:N51),"")</f>
        <v>0.8571428571428571</v>
      </c>
    </row>
    <row r="30" spans="1:4" x14ac:dyDescent="0.25">
      <c r="A30" s="21">
        <v>1828</v>
      </c>
      <c r="B30" s="21">
        <f>IFERROR(AVERAGEIF(Qwen_P0_Baseline!A2:A51,1828,Qwen_P0_Baseline!N2:N51),"")</f>
        <v>0.44444444444444442</v>
      </c>
      <c r="C30" s="21">
        <f>IFERROR(AVERAGEIF(Qwen_P2_RegrasTestes!A2:A51,1828,Qwen_P2_RegrasTestes!N2:N51),"")</f>
        <v>0.22222222222222221</v>
      </c>
      <c r="D30" s="21">
        <f>IFERROR(AVERAGEIF(Qwen_P3_LoT!A2:A51,1828,Qwen_P3_LoT!N2:N51),"")</f>
        <v>0.44444444444444442</v>
      </c>
    </row>
    <row r="31" spans="1:4" x14ac:dyDescent="0.25">
      <c r="A31" s="21">
        <v>1873</v>
      </c>
      <c r="B31" s="21">
        <f>IFERROR(AVERAGEIF(Qwen_P0_Baseline!A2:A51,1873,Qwen_P0_Baseline!N2:N51),"")</f>
        <v>0.3888888888888889</v>
      </c>
      <c r="C31" s="21">
        <f>IFERROR(AVERAGEIF(Qwen_P2_RegrasTestes!A2:A51,1873,Qwen_P2_RegrasTestes!N2:N51),"")</f>
        <v>0.22222222222222221</v>
      </c>
      <c r="D31" s="21">
        <f>IFERROR(AVERAGEIF(Qwen_P3_LoT!A2:A51,1873,Qwen_P3_LoT!N2:N51),"")</f>
        <v>0.33333333333333331</v>
      </c>
    </row>
    <row r="33" spans="1:4" x14ac:dyDescent="0.25">
      <c r="A33" s="22" t="s">
        <v>736</v>
      </c>
    </row>
    <row r="34" spans="1:4" x14ac:dyDescent="0.25">
      <c r="A34" s="18" t="s">
        <v>716</v>
      </c>
      <c r="B34" s="18" t="s">
        <v>733</v>
      </c>
      <c r="C34" s="18" t="s">
        <v>734</v>
      </c>
      <c r="D34" s="18" t="s">
        <v>735</v>
      </c>
    </row>
    <row r="35" spans="1:4" x14ac:dyDescent="0.25">
      <c r="A35" s="21">
        <v>1132</v>
      </c>
      <c r="B35" s="21">
        <f>IFERROR(AVERAGEIF(Qwen_P0_Baseline!A2:A51,1132,Qwen_P0_Baseline!O2:O51),"")</f>
        <v>0.33333333333333331</v>
      </c>
      <c r="C35" s="21">
        <f>IFERROR(AVERAGEIF(Qwen_P2_RegrasTestes!A2:A51,1132,Qwen_P2_RegrasTestes!O2:O51),"")</f>
        <v>0.33333333333333331</v>
      </c>
      <c r="D35" s="21">
        <f>IFERROR(AVERAGEIF(Qwen_P3_LoT!A2:A51,1132,Qwen_P3_LoT!O2:O51),"")</f>
        <v>0.25</v>
      </c>
    </row>
    <row r="36" spans="1:4" x14ac:dyDescent="0.25">
      <c r="A36" s="21">
        <v>1153</v>
      </c>
      <c r="B36" s="21">
        <f>IFERROR(AVERAGEIF(Qwen_P0_Baseline!A2:A51,1153,Qwen_P0_Baseline!O2:O51),"")</f>
        <v>0</v>
      </c>
      <c r="C36" s="21">
        <f>IFERROR(AVERAGEIF(Qwen_P2_RegrasTestes!A2:A51,1153,Qwen_P2_RegrasTestes!O2:O51),"")</f>
        <v>0.25</v>
      </c>
      <c r="D36" s="21">
        <f>IFERROR(AVERAGEIF(Qwen_P3_LoT!A2:A51,1153,Qwen_P3_LoT!O2:O51),"")</f>
        <v>0</v>
      </c>
    </row>
    <row r="37" spans="1:4" x14ac:dyDescent="0.25">
      <c r="A37" s="21">
        <v>1828</v>
      </c>
      <c r="B37" s="21">
        <f>IFERROR(AVERAGEIF(Qwen_P0_Baseline!A2:A51,1828,Qwen_P0_Baseline!O2:O51),"")</f>
        <v>0.16666666666666666</v>
      </c>
      <c r="C37" s="21">
        <f>IFERROR(AVERAGEIF(Qwen_P2_RegrasTestes!A2:A51,1828,Qwen_P2_RegrasTestes!O2:O51),"")</f>
        <v>0.16666666666666666</v>
      </c>
      <c r="D37" s="21">
        <f>IFERROR(AVERAGEIF(Qwen_P3_LoT!A2:A51,1828,Qwen_P3_LoT!O2:O51),"")</f>
        <v>0</v>
      </c>
    </row>
    <row r="38" spans="1:4" x14ac:dyDescent="0.25">
      <c r="A38" s="21">
        <v>1873</v>
      </c>
      <c r="B38" s="21">
        <f>IFERROR(AVERAGEIF(Qwen_P0_Baseline!A2:A51,1873,Qwen_P0_Baseline!O2:O51),"")</f>
        <v>0.125</v>
      </c>
      <c r="C38" s="21">
        <f>IFERROR(AVERAGEIF(Qwen_P2_RegrasTestes!A2:A51,1873,Qwen_P2_RegrasTestes!O2:O51),"")</f>
        <v>0.125</v>
      </c>
      <c r="D38" s="21">
        <f>IFERROR(AVERAGEIF(Qwen_P3_LoT!A2:A51,1873,Qwen_P3_LoT!O2:O51),"")</f>
        <v>0.1875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Planilhas</vt:lpstr>
      </vt:variant>
      <vt:variant>
        <vt:i4>7</vt:i4>
      </vt:variant>
    </vt:vector>
  </HeadingPairs>
  <TitlesOfParts>
    <vt:vector size="7" baseType="lpstr">
      <vt:lpstr>Gemini_P3_LoT</vt:lpstr>
      <vt:lpstr>Qwen_P3_LoT</vt:lpstr>
      <vt:lpstr>Qwen_P0_Baseline</vt:lpstr>
      <vt:lpstr>Qwen_P2_RegrasTestes</vt:lpstr>
      <vt:lpstr>Rubrica</vt:lpstr>
      <vt:lpstr>Comparativo_Modelos</vt:lpstr>
      <vt:lpstr>Comparativo_Prompts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Arthur Vinicius Ferreira Rodrigues</cp:lastModifiedBy>
  <cp:revision>0</cp:revision>
  <dcterms:created xsi:type="dcterms:W3CDTF">2026-07-07T13:13:14Z</dcterms:created>
  <dcterms:modified xsi:type="dcterms:W3CDTF">2026-08-14T19:28:30Z</dcterms:modified>
  <dc:language>en-US</dc:language>
</cp:coreProperties>
</file>