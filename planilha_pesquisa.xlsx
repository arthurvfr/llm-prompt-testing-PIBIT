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name="Avaliacao" sheetId="1" state="visible" r:id="rId1"/>
    <sheet name="Avaliacao_Local" sheetId="2" state="visible" r:id="rId2"/>
    <sheet name="Resumo" sheetId="3" state="visible" r:id="rId3"/>
    <sheet name="Rubrica" sheetId="4" state="visible" r:id="rId4"/>
    <sheet name="Comparativo" sheetId="5" state="visible" r:id="rId5"/>
  </sheets>
  <definedNames/>
  <calcPr calcId="191029" fullCalcOnLoad="1" iterateDelta="0.0001"/>
</workbook>
</file>

<file path=xl/styles.xml><?xml version="1.0" encoding="utf-8"?>
<styleSheet xmlns="http://schemas.openxmlformats.org/spreadsheetml/2006/main">
  <numFmts count="0"/>
  <fonts count="10">
    <font>
      <name val="Calibri"/>
      <charset val="1"/>
      <family val="2"/>
      <color theme="1"/>
      <sz val="11"/>
    </font>
    <font>
      <name val="Arial"/>
      <charset val="1"/>
      <b val="1"/>
      <color rgb="FFFFFFFF"/>
      <sz val="10"/>
    </font>
    <font>
      <name val="Arial"/>
      <charset val="1"/>
      <sz val="10"/>
    </font>
    <font>
      <name val="Arial"/>
      <charset val="1"/>
      <family val="2"/>
      <sz val="10"/>
    </font>
    <font>
      <name val="Arial"/>
      <charset val="1"/>
      <family val="2"/>
      <color theme="1"/>
      <sz val="10"/>
    </font>
    <font>
      <name val="Arial"/>
      <charset val="1"/>
      <b val="1"/>
      <sz val="10"/>
    </font>
    <font>
      <name val="Arial"/>
      <b val="1"/>
      <color rgb="FFFFFFFF"/>
      <sz val="10"/>
    </font>
    <font>
      <name val="Arial"/>
      <sz val="10"/>
    </font>
    <font>
      <name val="Arial"/>
      <b val="1"/>
      <sz val="10"/>
    </font>
    <font>
      <name val="Arial"/>
      <b val="1"/>
      <color rgb="00FFFFFF"/>
      <sz val="10"/>
    </font>
  </fonts>
  <fills count="14">
    <fill>
      <patternFill/>
    </fill>
    <fill>
      <patternFill patternType="gray125"/>
    </fill>
    <fill>
      <patternFill patternType="solid">
        <fgColor rgb="FF1F4E78"/>
        <bgColor rgb="FF003366"/>
      </patternFill>
    </fill>
    <fill>
      <patternFill patternType="solid">
        <fgColor rgb="FFFFF2CC"/>
        <bgColor rgb="FFFFFFFF"/>
      </patternFill>
    </fill>
    <fill>
      <patternFill patternType="solid">
        <fgColor rgb="FFD9EAD3"/>
        <bgColor rgb="FFD9D2E9"/>
      </patternFill>
    </fill>
    <fill>
      <patternFill patternType="solid">
        <fgColor rgb="FFD9D2E9"/>
        <bgColor rgb="FFD9EAD3"/>
      </patternFill>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D9D2E9"/>
        <bgColor rgb="FFD9D2E9"/>
      </patternFill>
    </fill>
    <fill>
      <patternFill patternType="solid">
        <fgColor rgb="00D9EAD3"/>
        <bgColor rgb="00D9EAD3"/>
      </patternFill>
    </fill>
    <fill>
      <patternFill patternType="solid">
        <fgColor rgb="00FFF2CC"/>
        <bgColor rgb="00FFF2CC"/>
      </patternFill>
    </fill>
    <fill>
      <patternFill patternType="solid">
        <fgColor rgb="00D9D2E9"/>
        <bgColor rgb="00D9D2E9"/>
      </patternFill>
    </fill>
    <fill>
      <patternFill patternType="solid">
        <fgColor rgb="001F4E78"/>
        <bgColor rgb="001F4E78"/>
      </patternFill>
    </fill>
  </fills>
  <borders count="5">
    <border>
      <left/>
      <right/>
      <top/>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bottom/>
      <diagonal/>
    </border>
    <border>
      <left style="thin">
        <color rgb="FFBBBBBB"/>
      </left>
      <right style="thin">
        <color rgb="FFBBBBBB"/>
      </right>
      <top style="thin">
        <color rgb="FFBBBBBB"/>
      </top>
      <bottom style="thin">
        <color rgb="FFBBBBBB"/>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2">
    <xf numFmtId="0" fontId="0" fillId="0" borderId="0" pivotButton="0" quotePrefix="0" xfId="0"/>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0" borderId="1" applyAlignment="1" pivotButton="0" quotePrefix="0" xfId="0">
      <alignment vertical="top" wrapText="1"/>
    </xf>
    <xf numFmtId="0" fontId="2" fillId="0" borderId="2" applyAlignment="1" pivotButton="0" quotePrefix="0" xfId="0">
      <alignment vertical="top" wrapText="1"/>
    </xf>
    <xf numFmtId="0" fontId="4" fillId="0" borderId="0" applyAlignment="1" pivotButton="0" quotePrefix="0" xfId="0">
      <alignment wrapText="1"/>
    </xf>
    <xf numFmtId="0" fontId="4" fillId="0" borderId="0" pivotButton="0" quotePrefix="0" xfId="0"/>
    <xf numFmtId="0" fontId="0" fillId="0" borderId="0" applyAlignment="1" pivotButton="0" quotePrefix="0" xfId="0">
      <alignment wrapText="1"/>
    </xf>
    <xf numFmtId="0" fontId="1" fillId="2" borderId="0" pivotButton="0" quotePrefix="0" xfId="0"/>
    <xf numFmtId="0" fontId="2" fillId="2"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6" fillId="6" borderId="0" applyAlignment="1" pivotButton="0" quotePrefix="0" xfId="0">
      <alignment horizontal="center" vertical="center" wrapText="1"/>
    </xf>
    <xf numFmtId="0" fontId="7" fillId="0" borderId="3" pivotButton="0" quotePrefix="0" xfId="0"/>
    <xf numFmtId="0" fontId="7" fillId="0" borderId="3" applyAlignment="1" pivotButton="0" quotePrefix="0" xfId="0">
      <alignment vertical="top" wrapText="1"/>
    </xf>
    <xf numFmtId="0" fontId="7" fillId="8" borderId="3" pivotButton="0" quotePrefix="0" xfId="0"/>
    <xf numFmtId="0" fontId="7" fillId="7" borderId="3" pivotButton="0" quotePrefix="0" xfId="0"/>
    <xf numFmtId="0" fontId="7" fillId="9" borderId="3" pivotButton="0" quotePrefix="0" xfId="0"/>
    <xf numFmtId="0" fontId="8" fillId="0" borderId="0" pivotButton="0" quotePrefix="0" xfId="0"/>
    <xf numFmtId="0" fontId="7" fillId="0" borderId="0" pivotButton="0" quotePrefix="0" xfId="0"/>
    <xf numFmtId="0" fontId="7" fillId="0" borderId="4" pivotButton="0" quotePrefix="0" xfId="0"/>
    <xf numFmtId="0" fontId="7" fillId="0" borderId="4" applyAlignment="1" pivotButton="0" quotePrefix="0" xfId="0">
      <alignment vertical="top" wrapText="1"/>
    </xf>
    <xf numFmtId="0" fontId="7" fillId="11" borderId="4" pivotButton="0" quotePrefix="0" xfId="0"/>
    <xf numFmtId="0" fontId="7" fillId="10" borderId="4" pivotButton="0" quotePrefix="0" xfId="0"/>
    <xf numFmtId="0" fontId="7" fillId="12" borderId="4" pivotButton="0" quotePrefix="0" xfId="0"/>
    <xf numFmtId="0" fontId="9" fillId="1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52"/>
  <sheetViews>
    <sheetView zoomScale="85" zoomScaleNormal="85" workbookViewId="0">
      <pane ySplit="1" topLeftCell="A27" activePane="bottomLeft" state="frozen"/>
      <selection pane="bottomLeft" activeCell="E31" sqref="E31"/>
    </sheetView>
  </sheetViews>
  <sheetFormatPr baseColWidth="8" defaultColWidth="8.7109375" defaultRowHeight="15" outlineLevelCol="0"/>
  <cols>
    <col width="10" customWidth="1" style="1" min="1" max="1"/>
    <col width="8" customWidth="1" style="1" min="2" max="3"/>
    <col width="20" customWidth="1" style="1" min="4" max="4"/>
    <col width="55" customWidth="1" style="1" min="5" max="5"/>
    <col width="14" customWidth="1" style="1" min="6" max="8"/>
    <col width="40" customWidth="1" style="1" min="9" max="10"/>
    <col width="14" customWidth="1" style="1" min="11" max="12"/>
    <col width="35" customWidth="1" style="1" min="13" max="13"/>
    <col width="16" customWidth="1" style="1" min="14" max="17"/>
    <col width="12" customWidth="1" style="1" min="18" max="18"/>
    <col width="16" customWidth="1" style="1" min="19" max="19"/>
    <col width="35" customWidth="1" style="1" min="20" max="20"/>
  </cols>
  <sheetData>
    <row r="1" ht="30" customHeight="1" s="1">
      <c r="A1" s="2" t="inlineStr">
        <is>
          <t>Problem</t>
        </is>
      </c>
      <c r="B1" s="2" t="inlineStr">
        <is>
          <t>Student</t>
        </is>
      </c>
      <c r="C1" s="2" t="inlineStr">
        <is>
          <t>Attempt</t>
        </is>
      </c>
      <c r="D1" s="2" t="inlineStr">
        <is>
          <t>Status_Original</t>
        </is>
      </c>
      <c r="E1" s="2" t="inlineStr">
        <is>
          <t>Codigo_Aluno</t>
        </is>
      </c>
      <c r="F1" s="2" t="inlineStr">
        <is>
          <t>Gemini_is_correct</t>
        </is>
      </c>
      <c r="G1" s="2" t="inlineStr">
        <is>
          <t>Gemini_linha_erro</t>
        </is>
      </c>
      <c r="H1" s="2" t="inlineStr">
        <is>
          <t>Gemini_tipo_erro</t>
        </is>
      </c>
      <c r="I1" s="2" t="inlineStr">
        <is>
          <t>Gemini_feedback_formativo</t>
        </is>
      </c>
      <c r="J1" s="2" t="inlineStr">
        <is>
          <t>Gemini_dica_acao</t>
        </is>
      </c>
      <c r="K1" s="2" t="inlineStr">
        <is>
          <t>Gold_tipo_erro</t>
        </is>
      </c>
      <c r="L1" s="2" t="inlineStr">
        <is>
          <t>Gold_linha_erro</t>
        </is>
      </c>
      <c r="M1" s="2" t="inlineStr">
        <is>
          <t>Gold_descricao_correcao</t>
        </is>
      </c>
      <c r="N1" s="2" t="inlineStr">
        <is>
          <t>Diagnostico_Correto</t>
        </is>
      </c>
      <c r="O1" s="2" t="inlineStr">
        <is>
          <t>Nao_Revela_Solucao_1a5</t>
        </is>
      </c>
      <c r="P1" s="2" t="inlineStr">
        <is>
          <t>Foco_Unico_Erro_1a5</t>
        </is>
      </c>
      <c r="Q1" s="2" t="inlineStr">
        <is>
          <t>Qualidade_Socratica_1a5</t>
        </is>
      </c>
      <c r="R1" s="2" t="inlineStr">
        <is>
          <t>Clareza_1a5</t>
        </is>
      </c>
      <c r="S1" s="2" t="inlineStr">
        <is>
          <t>Tom_Motivacional_1a5</t>
        </is>
      </c>
      <c r="T1" s="2" t="inlineStr">
        <is>
          <t>Comentarios</t>
        </is>
      </c>
    </row>
    <row r="2" ht="114.75" customHeight="1" s="1">
      <c r="A2" s="3" t="n">
        <v>1132</v>
      </c>
      <c r="B2" s="3" t="n">
        <v>1</v>
      </c>
      <c r="C2" s="3" t="n">
        <v>1</v>
      </c>
      <c r="D2" s="3" t="inlineStr">
        <is>
          <t>Runtime error</t>
        </is>
      </c>
      <c r="E2" s="3" t="inlineStr">
        <is>
          <t>#include &lt;stdio.h&gt;
X, Y = map(int, input().split())
soma = 0
for c in range(X, Y)
    if c % 13 != 0:
        soma += c
print(soma)</t>
        </is>
      </c>
      <c r="F2" s="4">
        <f>FALSE()</f>
        <v/>
      </c>
      <c r="G2" s="4" t="n">
        <v>6</v>
      </c>
      <c r="H2" s="4" t="inlineStr">
        <is>
          <t>Sintaxe</t>
        </is>
      </c>
      <c r="I2" s="4" t="inlineStr">
        <is>
          <t>O Python não conseguiu entender a estrutura do seu laço de repetição na linha 6 e interrompeu a execução por um erro de sintaxe.</t>
        </is>
      </c>
      <c r="J2" s="4" t="inlineStr">
        <is>
          <t>Observe atentamente o final da instrução do laço 'for' na linha 6. Qual caractere o Python exige ao final da linha de cabeçalho para sinalizar o início de um bloco de código?</t>
        </is>
      </c>
      <c r="K2" s="5" t="inlineStr">
        <is>
          <t>Sintaxe</t>
        </is>
      </c>
      <c r="L2" s="5" t="n">
        <v>6</v>
      </c>
      <c r="M2" s="5" t="inlineStr">
        <is>
          <t>Falta ':' no final do for (linha 6).</t>
        </is>
      </c>
      <c r="N2" s="3">
        <f>IF(AND(H2&lt;&gt;"",K2&lt;&gt;""),IF(H2=K2,1,0),"")</f>
        <v/>
      </c>
      <c r="O2" s="6" t="n">
        <v>4</v>
      </c>
      <c r="P2" s="6" t="n">
        <v>5</v>
      </c>
      <c r="Q2" s="6" t="n">
        <v>5</v>
      </c>
      <c r="R2" s="6" t="n">
        <v>5</v>
      </c>
      <c r="S2" s="6" t="n">
        <v>3</v>
      </c>
      <c r="T2" s="3" t="n"/>
    </row>
    <row r="3" ht="114.75" customHeight="1" s="1">
      <c r="A3" s="3" t="n">
        <v>1132</v>
      </c>
      <c r="B3" s="3" t="n">
        <v>1</v>
      </c>
      <c r="C3" s="3" t="n">
        <v>2</v>
      </c>
      <c r="D3" s="3" t="inlineStr">
        <is>
          <t>Runtime error</t>
        </is>
      </c>
      <c r="E3" s="7" t="inlineStr">
        <is>
          <t>#include &lt;stdio.h&gt;
X, Y = map(int, input().split())
soma = 0
for c in range(X, Y + 1)
    if c % 13 != 0:
        soma += c
print(soma)</t>
        </is>
      </c>
      <c r="F3" s="4">
        <f>FALSE()</f>
        <v/>
      </c>
      <c r="G3" s="4" t="n">
        <v>6</v>
      </c>
      <c r="H3" s="4" t="inlineStr">
        <is>
          <t>Sintaxe</t>
        </is>
      </c>
      <c r="I3" s="4" t="inlineStr">
        <is>
          <t>O Python não conseguiu entender a estrutura da linha 6 e interrompeu a execução antes mesmo de processar os dados.</t>
        </is>
      </c>
      <c r="J3" s="4" t="inlineStr">
        <is>
          <t>Observe com atenção a estrutura do seu laço 'for' na linha 6. Qual sinal de pontuação o Python exige ao final da linha que define uma estrutura de repetição?</t>
        </is>
      </c>
      <c r="K3" s="5" t="inlineStr">
        <is>
          <t>Sintaxe</t>
        </is>
      </c>
      <c r="L3" s="5" t="n">
        <v>6</v>
      </c>
      <c r="M3" s="5" t="inlineStr">
        <is>
          <t>Falta ':' no final do for (linha 6).</t>
        </is>
      </c>
      <c r="N3" s="3">
        <f>IF(AND(H3&lt;&gt;"",K3&lt;&gt;""),IF(H3=K3,1,0),"")</f>
        <v/>
      </c>
      <c r="O3" s="6" t="n">
        <v>4</v>
      </c>
      <c r="P3" s="6" t="n">
        <v>5</v>
      </c>
      <c r="Q3" s="6" t="n">
        <v>5</v>
      </c>
      <c r="R3" s="6" t="n">
        <v>5</v>
      </c>
      <c r="S3" s="6" t="n">
        <v>3</v>
      </c>
      <c r="T3" s="3" t="n"/>
    </row>
    <row r="4" ht="127.5" customHeight="1" s="1">
      <c r="A4" s="3" t="n">
        <v>1132</v>
      </c>
      <c r="B4" s="3" t="n">
        <v>1</v>
      </c>
      <c r="C4" s="3" t="n">
        <v>3</v>
      </c>
      <c r="D4" s="3" t="inlineStr">
        <is>
          <t>Wrong answer (100%)</t>
        </is>
      </c>
      <c r="E4" s="3" t="inlineStr">
        <is>
          <t>#include &lt;stdio.h&gt;
X = int(input())
Y = int(input())
soma = 0
for c in range(X, Y+1):
  if c % 13 != 0:
    soma += c
print(soma)</t>
        </is>
      </c>
      <c r="F4" s="4">
        <f>FALSE()</f>
        <v/>
      </c>
      <c r="G4" s="4" t="n">
        <v>7</v>
      </c>
      <c r="H4" s="4" t="inlineStr">
        <is>
          <t>Lógica</t>
        </is>
      </c>
      <c r="I4" s="4" t="inlineStr">
        <is>
          <t>Seu código funciona perfeitamente quando os valores são informados em ordem crescente. Contudo, a lógica tropeça quando o primeiro valor lido é maior que o segundo.</t>
        </is>
      </c>
      <c r="J4" s="4" t="inlineStr">
        <is>
          <t>O que o seu código produz se a entrada for X = 200 e Y = 100? O que acontece com o intervalo `range(X, Y+1)` nesse caso?</t>
        </is>
      </c>
      <c r="K4" s="5" t="inlineStr">
        <is>
          <t>Lógica</t>
        </is>
      </c>
      <c r="L4" s="5" t="n">
        <v>7</v>
      </c>
      <c r="M4" s="5" t="inlineStr">
        <is>
          <t>Não trata X &gt; Y: para 200/100 imprime 0 em vez de 13954.</t>
        </is>
      </c>
      <c r="N4" s="3">
        <f>IF(AND(H4&lt;&gt;"",K4&lt;&gt;""),IF(H4=K4,1,0),"")</f>
        <v/>
      </c>
      <c r="O4" s="6" t="n">
        <v>5</v>
      </c>
      <c r="P4" s="6" t="n">
        <v>5</v>
      </c>
      <c r="Q4" s="6" t="n">
        <v>5</v>
      </c>
      <c r="R4" s="6" t="n">
        <v>5</v>
      </c>
      <c r="S4" s="6" t="n">
        <v>4</v>
      </c>
      <c r="T4" s="3" t="n"/>
    </row>
    <row r="5" ht="114.75" customHeight="1" s="1">
      <c r="A5" s="3" t="n">
        <v>1132</v>
      </c>
      <c r="B5" s="3" t="n">
        <v>1</v>
      </c>
      <c r="C5" s="3" t="n">
        <v>4</v>
      </c>
      <c r="D5" s="3" t="inlineStr">
        <is>
          <t>Runtime error</t>
        </is>
      </c>
      <c r="E5" s="3" t="inlineStr">
        <is>
          <t>#include &lt;stdio.h&gt;
X, Y= map(int. input())
soma = 0
for c in range(X, Y+1):
    if c % 13 != 0:
        soma += c
print(soma)</t>
        </is>
      </c>
      <c r="F5" s="4">
        <f>FALSE()</f>
        <v/>
      </c>
      <c r="G5" s="4" t="n">
        <v>3</v>
      </c>
      <c r="H5" s="4" t="inlineStr">
        <is>
          <t>Sintaxe</t>
        </is>
      </c>
      <c r="I5" s="4" t="inlineStr">
        <is>
          <t>Seu código não conseguiu ser executado pelo Python por conta de uma inconsistência na sintaxe na hora de receber os dados de entrada.</t>
        </is>
      </c>
      <c r="J5" s="4" t="inlineStr">
        <is>
          <t>Observe com atenção a linha 3, especificamente o trecho 'int. input()'. Como as funções e seus argumentos devem ser separados dentro dos parênteses no Python?</t>
        </is>
      </c>
      <c r="K5" s="5" t="inlineStr">
        <is>
          <t>Execução</t>
        </is>
      </c>
      <c r="L5" s="5" t="n">
        <v>3</v>
      </c>
      <c r="M5" s="5" t="inlineStr">
        <is>
          <t>'int. input()' com ponto: gera AttributeError em tempo de execução (não é sintaxe).</t>
        </is>
      </c>
      <c r="N5" s="3">
        <f>IF(AND(H5&lt;&gt;"",K5&lt;&gt;""),IF(H5=K5,1,0),"")</f>
        <v/>
      </c>
      <c r="O5" s="6" t="n">
        <v>4</v>
      </c>
      <c r="P5" s="6" t="n">
        <v>5</v>
      </c>
      <c r="Q5" s="6" t="n">
        <v>5</v>
      </c>
      <c r="R5" s="6" t="n">
        <v>5</v>
      </c>
      <c r="S5" s="6" t="n">
        <v>3</v>
      </c>
      <c r="T5" s="3" t="inlineStr">
        <is>
          <t>DIVERGÊNCIA DE TIPO: Gemini classificou Sintaxe, mas 'int.input()' é sintaticamente válido e falha em runtime (AttributeError) -&gt; gold Execução. Caso limítrofe, vale revisar.</t>
        </is>
      </c>
    </row>
    <row r="6" ht="114.75" customHeight="1" s="1">
      <c r="A6" s="3" t="n">
        <v>1132</v>
      </c>
      <c r="B6" s="3" t="n">
        <v>1</v>
      </c>
      <c r="C6" s="3" t="n">
        <v>5</v>
      </c>
      <c r="D6" s="3" t="inlineStr">
        <is>
          <t>Runtime error</t>
        </is>
      </c>
      <c r="E6" s="3" t="inlineStr">
        <is>
          <t>#include &lt;stdio.h&gt;
X, Y= map(int. input().split())
soma = 0
for c in range(X, Y+1):
    if c % 13 != 0:
        soma += c
print(soma)</t>
        </is>
      </c>
      <c r="F6" s="4">
        <f>FALSE()</f>
        <v/>
      </c>
      <c r="G6" s="4" t="n">
        <v>3</v>
      </c>
      <c r="H6" s="4" t="inlineStr">
        <is>
          <t>Sintaxe</t>
        </is>
      </c>
      <c r="I6" s="4" t="inlineStr">
        <is>
          <t>O interpretador Python encontrou um erro de sintaxe ao tentar processar a linha onde as entradas são lidas.</t>
        </is>
      </c>
      <c r="J6" s="4" t="inlineStr">
        <is>
          <t>Observe atentamente a linha 3, em especial dentro da função `map(...)`. Como costumamos separar diferentes argumentos passados para uma função em Python?</t>
        </is>
      </c>
      <c r="K6" s="5" t="inlineStr">
        <is>
          <t>Execução</t>
        </is>
      </c>
      <c r="L6" s="5" t="n">
        <v>3</v>
      </c>
      <c r="M6" s="5" t="inlineStr">
        <is>
          <t>'int. input()' com ponto: gera AttributeError em tempo de execução (não é sintaxe).</t>
        </is>
      </c>
      <c r="N6" s="3">
        <f>IF(AND(H6&lt;&gt;"",K6&lt;&gt;""),IF(H6=K6,1,0),"")</f>
        <v/>
      </c>
      <c r="O6" s="6" t="n">
        <v>4</v>
      </c>
      <c r="P6" s="6" t="n">
        <v>5</v>
      </c>
      <c r="Q6" s="6" t="n">
        <v>5</v>
      </c>
      <c r="R6" s="6" t="n">
        <v>5</v>
      </c>
      <c r="S6" s="6" t="n">
        <v>3</v>
      </c>
      <c r="T6" s="3" t="inlineStr">
        <is>
          <t>DIVERGÊNCIA DE TIPO: mesma situação da linha 5 (Sintaxe x Execução).</t>
        </is>
      </c>
    </row>
    <row r="7" ht="114.75" customHeight="1" s="1">
      <c r="A7" s="3" t="n">
        <v>1132</v>
      </c>
      <c r="B7" s="3" t="n">
        <v>1</v>
      </c>
      <c r="C7" s="3" t="n">
        <v>6</v>
      </c>
      <c r="D7" s="3" t="inlineStr">
        <is>
          <t>Runtime error</t>
        </is>
      </c>
      <c r="E7" s="3" t="inlineStr">
        <is>
          <t>#include &lt;stdio.h&gt;
X, Y= map(int, input().split())
soma = 0
for c in range(X, Y+1):
    if c % 13 != 0:
        soma += c
print(soma)</t>
        </is>
      </c>
      <c r="F7" s="4">
        <f>FALSE()</f>
        <v/>
      </c>
      <c r="G7" s="4" t="n">
        <v>3</v>
      </c>
      <c r="H7" s="4" t="inlineStr">
        <is>
          <t>Execução</t>
        </is>
      </c>
      <c r="I7" s="4" t="inlineStr">
        <is>
          <t>Seu código interrompe a execução logo no início ao tentar processar as entradas.</t>
        </is>
      </c>
      <c r="J7" s="4" t="inlineStr">
        <is>
          <t>Considerando que o primeiro valor (ex: 100) é digitado em uma linha e o segundo valor (ex: 200) é digitado na linha seguinte, o que a função `input().split()` retorna na primeira leitura?</t>
        </is>
      </c>
      <c r="K7" s="5" t="inlineStr">
        <is>
          <t>Execução</t>
        </is>
      </c>
      <c r="L7" s="5" t="n">
        <v>3</v>
      </c>
      <c r="M7" s="5" t="inlineStr">
        <is>
          <t>input().split() lê 1 linha, mas a entrada tem X e Y em linhas separadas -&gt; ValueError.</t>
        </is>
      </c>
      <c r="N7" s="3">
        <f>IF(AND(H7&lt;&gt;"",K7&lt;&gt;""),IF(H7=K7,1,0),"")</f>
        <v/>
      </c>
      <c r="O7" s="6" t="n">
        <v>5</v>
      </c>
      <c r="P7" s="6" t="n">
        <v>5</v>
      </c>
      <c r="Q7" s="6" t="n">
        <v>5</v>
      </c>
      <c r="R7" s="6" t="n">
        <v>5</v>
      </c>
      <c r="S7" s="6" t="n">
        <v>3</v>
      </c>
      <c r="T7" s="3" t="inlineStr">
        <is>
          <t>[RASCUNHO/juiz] Gemini diagnosticou Lógica(X&gt;Y); Gold sugere formato de entrada (Execução) -- verificar diagnóstico.</t>
        </is>
      </c>
    </row>
    <row r="8" ht="127.5" customHeight="1" s="1">
      <c r="A8" s="3" t="n">
        <v>1132</v>
      </c>
      <c r="B8" s="3" t="n">
        <v>1</v>
      </c>
      <c r="C8" s="3" t="n">
        <v>7</v>
      </c>
      <c r="D8" s="3" t="inlineStr">
        <is>
          <t>Wrong answer (100%)</t>
        </is>
      </c>
      <c r="E8" s="3" t="inlineStr">
        <is>
          <t>#include &lt;stdio.h&gt;
X = int(input())
Y= int(input())
soma = 0
for c in range(X, Y+1):
    if c % 13 != 0:
        soma += c
print(soma)</t>
        </is>
      </c>
      <c r="F8" s="4">
        <f>FALSE()</f>
        <v/>
      </c>
      <c r="G8" s="4" t="n">
        <v>6</v>
      </c>
      <c r="H8" s="4" t="inlineStr">
        <is>
          <t>Lógica</t>
        </is>
      </c>
      <c r="I8" s="4" t="inlineStr">
        <is>
          <t>Seu código funciona muito bem quando o primeiro número é menor que o segundo! Porém, há uma situação específica de entrada em que o laço de repetição não chega a executar.</t>
        </is>
      </c>
      <c r="J8" s="4" t="inlineStr">
        <is>
          <t>Simule a execução do seu programa no papel quando a entrada for X = 200 e Y = 100. O que a instrução range(X, Y+1) gera nesse caso?</t>
        </is>
      </c>
      <c r="K8" s="5" t="inlineStr">
        <is>
          <t>Lógica</t>
        </is>
      </c>
      <c r="L8" s="5" t="n">
        <v>7</v>
      </c>
      <c r="M8" s="5" t="inlineStr">
        <is>
          <t>Não trata X &gt; Y: para 200/100 o range fica vazio e a soma sai errada.</t>
        </is>
      </c>
      <c r="N8" s="3">
        <f>IF(AND(H8&lt;&gt;"",K8&lt;&gt;""),IF(H8=K8,1,0),"")</f>
        <v/>
      </c>
      <c r="O8" s="6" t="n">
        <v>5</v>
      </c>
      <c r="P8" s="6" t="n">
        <v>5</v>
      </c>
      <c r="Q8" s="6" t="n">
        <v>5</v>
      </c>
      <c r="R8" s="6" t="n">
        <v>5</v>
      </c>
      <c r="S8" s="6" t="n">
        <v>4</v>
      </c>
      <c r="T8" s="3" t="n"/>
    </row>
    <row r="9" ht="165.75" customHeight="1" s="1">
      <c r="A9" s="3" t="n">
        <v>1132</v>
      </c>
      <c r="B9" s="3" t="n">
        <v>1</v>
      </c>
      <c r="C9" s="3" t="n">
        <v>8</v>
      </c>
      <c r="D9" s="3" t="inlineStr">
        <is>
          <t>Accepted</t>
        </is>
      </c>
      <c r="E9" s="3" t="inlineStr">
        <is>
          <t>#include &lt;stdio.h&gt;
X = int(input())
Y = int(input())
if X &gt; Y:
    X, Y = Y, X
soma = 0
for c in range(X, Y+1):
    if c % 13 != 0:
        soma += c
print(soma)</t>
        </is>
      </c>
      <c r="F9" s="4">
        <f>TRUE()</f>
        <v/>
      </c>
      <c r="G9" s="4" t="inlineStr">
        <is>
          <t>-</t>
        </is>
      </c>
      <c r="H9" s="4" t="inlineStr">
        <is>
          <t>Nenhum (código correto)</t>
        </is>
      </c>
      <c r="I9" s="4" t="inlineStr">
        <is>
          <t>Excelente trabalho! Seu programa atende perfeitamente a todos os requisitos do problema e trata corretamente todas as situações, inclusive quando o primeiro valor é maior que o segundo.</t>
        </is>
      </c>
      <c r="J9" s="4" t="inlineStr">
        <is>
          <t>Seu código está correto e pronto! Que tal tentar resolver o próximo desafio?</t>
        </is>
      </c>
      <c r="K9" s="5" t="inlineStr">
        <is>
          <t>Nenhum (código correto)</t>
        </is>
      </c>
      <c r="L9" s="5" t="n"/>
      <c r="M9" s="5" t="inlineStr">
        <is>
          <t>Passou 10/10 casos de teste.</t>
        </is>
      </c>
      <c r="N9" s="3">
        <f>IF(AND(H9&lt;&gt;"",K9&lt;&gt;""),IF(H9=K9,1,0),"")</f>
        <v/>
      </c>
      <c r="O9" s="6" t="n">
        <v>5</v>
      </c>
      <c r="P9" s="6" t="n">
        <v>5</v>
      </c>
      <c r="Q9" s="6" t="n">
        <v>3</v>
      </c>
      <c r="R9" s="6" t="n">
        <v>5</v>
      </c>
      <c r="S9" s="6" t="n">
        <v>5</v>
      </c>
      <c r="T9" s="3" t="inlineStr">
        <is>
          <t>Código correto: dica não é socrática, apenas encerra.</t>
        </is>
      </c>
    </row>
    <row r="10" ht="165.75" customHeight="1" s="1">
      <c r="A10" s="3" t="n">
        <v>1132</v>
      </c>
      <c r="B10" s="3" t="n">
        <v>2</v>
      </c>
      <c r="C10" s="3" t="n">
        <v>1</v>
      </c>
      <c r="D10" s="3" t="inlineStr">
        <is>
          <t>Runtime error</t>
        </is>
      </c>
      <c r="E10" s="3" t="inlineStr">
        <is>
          <t xml:space="preserve">x = int(input())
y = int(input())
naoDivisiveisPor13 = []
for numero in rage(x, y + 1):
    if numero % 13 != 0:
      naoDivisiveisPor13.append(numero)
soma = sum(naoDivisiveisPor13)
print('{}'.format(soma))
</t>
        </is>
      </c>
      <c r="F10" s="4">
        <f>FALSE()</f>
        <v/>
      </c>
      <c r="G10" s="4" t="n">
        <v>6</v>
      </c>
      <c r="H10" s="4" t="inlineStr">
        <is>
          <t>Execução</t>
        </is>
      </c>
      <c r="I10" s="4" t="inlineStr">
        <is>
          <t>Seu código interrompe a execução logo no início da repetição por não reconhecer uma das funções utilizadas.</t>
        </is>
      </c>
      <c r="J10" s="4" t="inlineStr">
        <is>
          <t>Observe atentamente o nome da função que você chamou na linha 6 para gerar o intervalo numérico. O Python reconheceu esse nome exatamente como foi digitado?</t>
        </is>
      </c>
      <c r="K10" s="5" t="inlineStr">
        <is>
          <t>Execução</t>
        </is>
      </c>
      <c r="L10" s="5" t="n">
        <v>6</v>
      </c>
      <c r="M10" s="5" t="inlineStr">
        <is>
          <t>'rage' em vez de 'range' (NameError) na linha 6.</t>
        </is>
      </c>
      <c r="N10" s="3">
        <f>IF(AND(H10&lt;&gt;"",K10&lt;&gt;""),IF(H10=K10,1,0),"")</f>
        <v/>
      </c>
      <c r="O10" s="6" t="n">
        <v>4</v>
      </c>
      <c r="P10" s="6" t="n">
        <v>5</v>
      </c>
      <c r="Q10" s="6" t="n">
        <v>5</v>
      </c>
      <c r="R10" s="6" t="n">
        <v>5</v>
      </c>
      <c r="S10" s="6" t="n">
        <v>3</v>
      </c>
      <c r="T10" s="3" t="n"/>
    </row>
    <row r="11" ht="153" customHeight="1" s="1">
      <c r="A11" s="3" t="n">
        <v>1132</v>
      </c>
      <c r="B11" s="3" t="n">
        <v>2</v>
      </c>
      <c r="C11" s="3" t="n">
        <v>2</v>
      </c>
      <c r="D11" s="3" t="inlineStr">
        <is>
          <t>Wrong answer (100%)</t>
        </is>
      </c>
      <c r="E11" s="3" t="inlineStr">
        <is>
          <t>x = int(input())
y = int(input())
naoDivisiveisPor13 = []
for numero in range(x, y + 1):
    if numero % 13 != 0:
      naoDivisiveisPor13.append(numero)
soma = sum(naoDivisiveisPor13)
print('{}'.format(soma))</t>
        </is>
      </c>
      <c r="F11" s="4">
        <f>FALSE()</f>
        <v/>
      </c>
      <c r="G11" s="4" t="n">
        <v>6</v>
      </c>
      <c r="H11" s="4" t="inlineStr">
        <is>
          <t>Lógica</t>
        </is>
      </c>
      <c r="I11" s="4" t="inlineStr">
        <is>
          <t>Seu código funciona muito bem quando o primeiro número lido é menor que o segundo. No entanto, o problema não garante a ordem de entrada dos valores.</t>
        </is>
      </c>
      <c r="J11" s="4" t="inlineStr">
        <is>
          <t>Simule a execução do seu programa quando a entrada for X = 200 e Y = 100. O que a função range(200, 101) produz e quantas vezes seu laço 'for' é executado?</t>
        </is>
      </c>
      <c r="K11" s="5" t="inlineStr">
        <is>
          <t>Lógica</t>
        </is>
      </c>
      <c r="L11" s="5" t="n">
        <v>6</v>
      </c>
      <c r="M11" s="5" t="inlineStr">
        <is>
          <t>Não trata X &gt; Y (range(200,101) vazio).</t>
        </is>
      </c>
      <c r="N11" s="3">
        <f>IF(AND(H11&lt;&gt;"",K11&lt;&gt;""),IF(H11=K11,1,0),"")</f>
        <v/>
      </c>
      <c r="O11" s="6" t="n">
        <v>5</v>
      </c>
      <c r="P11" s="6" t="n">
        <v>5</v>
      </c>
      <c r="Q11" s="6" t="n">
        <v>5</v>
      </c>
      <c r="R11" s="6" t="n">
        <v>5</v>
      </c>
      <c r="S11" s="6" t="n">
        <v>4</v>
      </c>
      <c r="T11" s="3" t="n"/>
    </row>
    <row r="12" ht="153" customHeight="1" s="1">
      <c r="A12" s="3" t="n">
        <v>1132</v>
      </c>
      <c r="B12" s="3" t="n">
        <v>2</v>
      </c>
      <c r="C12" s="3" t="n">
        <v>3</v>
      </c>
      <c r="D12" s="3" t="inlineStr">
        <is>
          <t>Wrong answer (100%)</t>
        </is>
      </c>
      <c r="E12" s="3" t="inlineStr">
        <is>
          <t>x = int(input())
y = int(input())
naoDivisiveisPor13 = []
for numero in range(x, y + 1):
    if numero % 13 != 0:
      naoDivisiveisPor13.append(numero)
soma = sum(naoDivisiveisPor13)
print(soma)</t>
        </is>
      </c>
      <c r="F12" s="4">
        <f>FALSE()</f>
        <v/>
      </c>
      <c r="G12" s="4" t="n">
        <v>6</v>
      </c>
      <c r="H12" s="4" t="inlineStr">
        <is>
          <t>Lógica</t>
        </is>
      </c>
      <c r="I12" s="4" t="inlineStr">
        <is>
          <t>Seu código funciona perfeitamente quando o primeiro número digitado é menor ou igual ao segundo. Contudo, em alguns cenários de entrada, o laço de repetição não chega a executar nenhuma vez.</t>
        </is>
      </c>
      <c r="J12" s="4" t="inlineStr">
        <is>
          <t>O que acontece na linha 6 se a entrada for X = 200 e Y = 100? Como a função range(200, 101) se comporta e qual seria a saída do seu programa nesse caso?</t>
        </is>
      </c>
      <c r="K12" s="5" t="inlineStr">
        <is>
          <t>Lógica</t>
        </is>
      </c>
      <c r="L12" s="5" t="n">
        <v>6</v>
      </c>
      <c r="M12" s="5" t="inlineStr">
        <is>
          <t>Não trata X &gt; Y (range(200,101) vazio).</t>
        </is>
      </c>
      <c r="N12" s="3">
        <f>IF(AND(H12&lt;&gt;"",K12&lt;&gt;""),IF(H12=K12,1,0),"")</f>
        <v/>
      </c>
      <c r="O12" s="6" t="n">
        <v>5</v>
      </c>
      <c r="P12" s="6" t="n">
        <v>5</v>
      </c>
      <c r="Q12" s="6" t="n">
        <v>5</v>
      </c>
      <c r="R12" s="6" t="n">
        <v>5</v>
      </c>
      <c r="S12" s="6" t="n">
        <v>4</v>
      </c>
      <c r="T12" s="3" t="n"/>
    </row>
    <row r="13" ht="165.75" customHeight="1" s="1">
      <c r="A13" s="3" t="n">
        <v>1132</v>
      </c>
      <c r="B13" s="3" t="n">
        <v>2</v>
      </c>
      <c r="C13" s="3" t="n">
        <v>4</v>
      </c>
      <c r="D13" s="3" t="inlineStr">
        <is>
          <t>Accepted</t>
        </is>
      </c>
      <c r="E13" s="3" t="inlineStr">
        <is>
          <t>x = int(input())
y = int(input())
if x &gt; y:
    x, y = y, x
soma = 0
for numero in range(x, y + 1):
    if numero % 13 != 0:
        soma += numero
print(soma)</t>
        </is>
      </c>
      <c r="F13" s="4">
        <f>TRUE()</f>
        <v/>
      </c>
      <c r="G13" s="4" t="inlineStr">
        <is>
          <t>-</t>
        </is>
      </c>
      <c r="H13" s="4" t="inlineStr">
        <is>
          <t>Nenhum (código correto)</t>
        </is>
      </c>
      <c r="I13" s="4" t="inlineStr">
        <is>
          <t>Parabéns! Seu código está muito bem estruturado e resolveu o problema perfeitamente.</t>
        </is>
      </c>
      <c r="J13" s="4" t="inlineStr">
        <is>
          <t>Sua solução passou em todos os casos de teste! Continue assim nos próximos exercícios.</t>
        </is>
      </c>
      <c r="K13" s="5" t="inlineStr">
        <is>
          <t>Nenhum (código correto)</t>
        </is>
      </c>
      <c r="L13" s="5" t="n"/>
      <c r="M13" s="5" t="inlineStr">
        <is>
          <t>Passou 10/10 casos de teste.</t>
        </is>
      </c>
      <c r="N13" s="3">
        <f>IF(AND(H13&lt;&gt;"",K13&lt;&gt;""),IF(H13=K13,1,0),"")</f>
        <v/>
      </c>
      <c r="O13" s="6" t="n">
        <v>5</v>
      </c>
      <c r="P13" s="6" t="n">
        <v>5</v>
      </c>
      <c r="Q13" s="6" t="n">
        <v>2</v>
      </c>
      <c r="R13" s="6" t="n">
        <v>5</v>
      </c>
      <c r="S13" s="6" t="n">
        <v>5</v>
      </c>
      <c r="T13" s="3" t="inlineStr">
        <is>
          <t>Código correto.</t>
        </is>
      </c>
    </row>
    <row r="14" ht="153" customHeight="1" s="1">
      <c r="A14" s="3" t="n">
        <v>1132</v>
      </c>
      <c r="B14" s="3" t="n">
        <v>3</v>
      </c>
      <c r="C14" s="3" t="n">
        <v>1</v>
      </c>
      <c r="D14" s="3" t="inlineStr">
        <is>
          <t>Runtime error</t>
        </is>
      </c>
      <c r="E14" s="3" t="inlineStr">
        <is>
          <t>X = int(input())
Y = int(input())
def naom13(X, Y):
    if X &gt; Y:
        X, Y = Y, X
    soma = 0
    for c in range(X, Y + 1):
        if c % 13 != 0:
            soma += c
    return soma
resultado = naom13(X, Y)
print(f'{resultado}')</t>
        </is>
      </c>
      <c r="F14" s="4">
        <f>TRUE()</f>
        <v/>
      </c>
      <c r="G14" s="4" t="inlineStr">
        <is>
          <t>-</t>
        </is>
      </c>
      <c r="H14" s="4" t="inlineStr">
        <is>
          <t>Nenhum (código correto)</t>
        </is>
      </c>
      <c r="I14" s="4" t="inlineStr">
        <is>
          <t>Excelente trabalho! Seu código está muito bem estruturado, lidou perfeitamente com a troca de variáveis quando X &gt; Y e tratou corretamente o intervalo inclusivo e os múltiplos de 13.</t>
        </is>
      </c>
      <c r="J14" s="4" t="inlineStr">
        <is>
          <t>Parabéns por resolver o problema! Que tal tentar resolver este mesmo exercício sem criar uma função auxiliar ou utilizando a função sum com uma 'generator expression'?</t>
        </is>
      </c>
      <c r="K14" s="5" t="inlineStr">
        <is>
          <t>Nenhum (código correto)</t>
        </is>
      </c>
      <c r="L14" s="5" t="n"/>
      <c r="M14" s="5" t="inlineStr">
        <is>
          <t>Passa 10/10 em Python 3. (BeeCrowd deu Runtime error por f-string em Python antigo — problema de ambiente, não do código.)</t>
        </is>
      </c>
      <c r="N14" s="3">
        <f>IF(AND(H14&lt;&gt;"",K14&lt;&gt;""),IF(H14=K14,1,0),"")</f>
        <v/>
      </c>
      <c r="O14" s="6" t="n">
        <v>5</v>
      </c>
      <c r="P14" s="6" t="n">
        <v>5</v>
      </c>
      <c r="Q14" s="6" t="n">
        <v>4</v>
      </c>
      <c r="R14" s="6" t="n">
        <v>5</v>
      </c>
      <c r="S14" s="6" t="n">
        <v>5</v>
      </c>
      <c r="T14" s="3" t="inlineStr">
        <is>
          <t>Código correto. BeeCrowd deu Runtime (f-string/ambiente); Gemini e gold concordam que o código está certo em Python 3.</t>
        </is>
      </c>
    </row>
    <row r="15" ht="153" customHeight="1" s="1">
      <c r="A15" s="3" t="n">
        <v>1132</v>
      </c>
      <c r="B15" s="3" t="n">
        <v>3</v>
      </c>
      <c r="C15" s="3" t="n">
        <v>2</v>
      </c>
      <c r="D15" s="3" t="inlineStr">
        <is>
          <t>Accepted</t>
        </is>
      </c>
      <c r="E15" s="3" t="inlineStr">
        <is>
          <t>X = int(input())
Y = int(input())
def naom13(X, Y):
    if X &gt; Y:
        X, Y = Y, X
    soma = 0
    for c in range(X, Y + 1):
        if c % 13 != 0:
            soma += c
    return soma
resultado = naom13(X, Y)
print('{}'.format(resultado))</t>
        </is>
      </c>
      <c r="F15" s="4">
        <f>TRUE()</f>
        <v/>
      </c>
      <c r="G15" s="4" t="inlineStr">
        <is>
          <t>-</t>
        </is>
      </c>
      <c r="H15" s="4" t="inlineStr">
        <is>
          <t>Nenhum (código correto)</t>
        </is>
      </c>
      <c r="I15" s="4" t="inlineStr">
        <is>
          <t>Excelente trabalho! Sua lógica para inverter os valores quando X &gt; Y e a condição para ignorar os múltiplos de 13 funcionaram perfeitamente em todos os cenários.</t>
        </is>
      </c>
      <c r="J15" s="4" t="inlineStr">
        <is>
          <t>Para continuar praticando: como você poderia reescrever esse código sem a necessidade de definir uma função explicitamente, mantendo a mesma corretude?</t>
        </is>
      </c>
      <c r="K15" s="5" t="inlineStr">
        <is>
          <t>Nenhum (código correto)</t>
        </is>
      </c>
      <c r="L15" s="5" t="n"/>
      <c r="M15" s="5" t="inlineStr">
        <is>
          <t>Passou 10/10 casos de teste.</t>
        </is>
      </c>
      <c r="N15" s="3">
        <f>IF(AND(H15&lt;&gt;"",K15&lt;&gt;""),IF(H15=K15,1,0),"")</f>
        <v/>
      </c>
      <c r="O15" s="6" t="n">
        <v>5</v>
      </c>
      <c r="P15" s="6" t="n">
        <v>5</v>
      </c>
      <c r="Q15" s="6" t="n">
        <v>4</v>
      </c>
      <c r="R15" s="6" t="n">
        <v>5</v>
      </c>
      <c r="S15" s="6" t="n">
        <v>5</v>
      </c>
      <c r="T15" s="3" t="inlineStr">
        <is>
          <t>Código correto.</t>
        </is>
      </c>
    </row>
    <row r="16" ht="114.75" customHeight="1" s="1">
      <c r="A16" s="3" t="n">
        <v>1153</v>
      </c>
      <c r="B16" s="3" t="n">
        <v>1</v>
      </c>
      <c r="C16" s="3" t="n">
        <v>1</v>
      </c>
      <c r="D16" s="3" t="inlineStr">
        <is>
          <t>Accepted</t>
        </is>
      </c>
      <c r="E16" s="3" t="inlineStr">
        <is>
          <t>N = int(input())
if 0 &lt; N &lt; 13:
    valorNovo = 1
    for c in range(1, N + 1):
        valorNovo *= c
    print(valorNovo)
else:
    print("O valor de N deve estar no intervalo 0 &lt; N &lt; 13.")</t>
        </is>
      </c>
      <c r="F16" s="4">
        <f>TRUE()</f>
        <v/>
      </c>
      <c r="G16" s="4" t="inlineStr">
        <is>
          <t>-</t>
        </is>
      </c>
      <c r="H16" s="4" t="inlineStr">
        <is>
          <t>Nenhum (código correto)</t>
        </is>
      </c>
      <c r="I16" s="4" t="inlineStr">
        <is>
          <t>Excelente trabalho! Sua lógica para a verificação do intervalo e o cálculo do fatorial com o laço de repetição está totalmente correta e atende a todos os casos de teste.</t>
        </is>
      </c>
      <c r="J16" s="4" t="inlineStr">
        <is>
          <t>Como desafio adicional para expandir seu conhecimento: o que aconteceria com a execução do seu programa se a entrada fosse N = 0 e o problema exigisse que 0! = 1?</t>
        </is>
      </c>
      <c r="K16" s="5" t="inlineStr">
        <is>
          <t>Nenhum (código correto)</t>
        </is>
      </c>
      <c r="L16" s="5" t="n"/>
      <c r="M16" s="5" t="inlineStr">
        <is>
          <t>Passou 6/6 casos de teste (0! não é testado: enunciado real garante 0 &lt; N).</t>
        </is>
      </c>
      <c r="N16" s="3">
        <f>IF(AND(H16&lt;&gt;"",K16&lt;&gt;""),IF(H16=K16,1,0),"")</f>
        <v/>
      </c>
      <c r="O16" s="6" t="n">
        <v>5</v>
      </c>
      <c r="P16" s="6" t="n">
        <v>5</v>
      </c>
      <c r="Q16" s="6" t="n">
        <v>4</v>
      </c>
      <c r="R16" s="6" t="n">
        <v>5</v>
      </c>
      <c r="S16" s="6" t="n">
        <v>5</v>
      </c>
      <c r="T16" s="3" t="inlineStr">
        <is>
          <t>Boa recuperação: nesta rodada o 0! aparece como desafio hipotético ('se o problema exigisse'), não como erro. Diagnóstico bate com o gold.</t>
        </is>
      </c>
    </row>
    <row r="17" ht="114.75" customHeight="1" s="1">
      <c r="A17" s="3" t="n">
        <v>1153</v>
      </c>
      <c r="B17" s="3" t="n">
        <v>2</v>
      </c>
      <c r="C17" s="3" t="n">
        <v>1</v>
      </c>
      <c r="D17" s="3" t="inlineStr">
        <is>
          <t>Wrong answer (100%)</t>
        </is>
      </c>
      <c r="E17" s="3" t="inlineStr">
        <is>
          <t>n = int(input())
if 0 &lt; n &lt; 13:
    resultadoFatorial = 1
for i in range(1, n + 1):
    resultadoFatorial *= 1
print(resultadoFatorial)</t>
        </is>
      </c>
      <c r="F17" s="4">
        <f>FALSE()</f>
        <v/>
      </c>
      <c r="G17" s="4" t="n">
        <v>7</v>
      </c>
      <c r="H17" s="4" t="inlineStr">
        <is>
          <t>Lógica</t>
        </is>
      </c>
      <c r="I17" s="4" t="inlineStr">
        <is>
          <t>Seu código roda sem erros de execução, mas a variável que deveria calcular o fatorial permanece com o mesmo valor a cada repetição do laço.</t>
        </is>
      </c>
      <c r="J17" s="4" t="inlineStr">
        <is>
          <t>Tente fazer um teste de mesa no papel para a entrada N = 4: a cada repetição do laço 'for', qual é o valor da variável 'i' e o que exatamente está acontecendo com 'resultadoFatorial' na linha 7?</t>
        </is>
      </c>
      <c r="K17" s="5" t="inlineStr">
        <is>
          <t>Lógica</t>
        </is>
      </c>
      <c r="L17" s="5" t="n">
        <v>7</v>
      </c>
      <c r="M17" s="5" t="inlineStr">
        <is>
          <t>'resultadoFatorial *= 1' deveria multiplicar por i: resultado fica sempre 1.</t>
        </is>
      </c>
      <c r="N17" s="3">
        <f>IF(AND(H17&lt;&gt;"",K17&lt;&gt;""),IF(H17=K17,1,0),"")</f>
        <v/>
      </c>
      <c r="O17" s="6" t="n">
        <v>5</v>
      </c>
      <c r="P17" s="6" t="n">
        <v>5</v>
      </c>
      <c r="Q17" s="6" t="n">
        <v>5</v>
      </c>
      <c r="R17" s="6" t="n">
        <v>5</v>
      </c>
      <c r="S17" s="6" t="n">
        <v>3</v>
      </c>
      <c r="T17" s="3" t="inlineStr">
        <is>
          <t>Excelente teste de mesa socrático.</t>
        </is>
      </c>
    </row>
    <row r="18" ht="127.5" customHeight="1" s="1">
      <c r="A18" s="3" t="n">
        <v>1153</v>
      </c>
      <c r="B18" s="3" t="n">
        <v>2</v>
      </c>
      <c r="C18" s="3" t="n">
        <v>2</v>
      </c>
      <c r="D18" s="3" t="inlineStr">
        <is>
          <t>Runtime error</t>
        </is>
      </c>
      <c r="E18" s="3" t="inlineStr">
        <is>
          <t>n = int(input())
if 0 &lt; n &lt; 13:
    resultadoFatorial = 1
while n &gt; 1
    resultadoFatorial *= n
    n -= 1
print(resultadoFatorial)</t>
        </is>
      </c>
      <c r="F18" s="4">
        <f>FALSE()</f>
        <v/>
      </c>
      <c r="G18" s="4" t="n">
        <v>6</v>
      </c>
      <c r="H18" s="4" t="inlineStr">
        <is>
          <t>Sintaxe</t>
        </is>
      </c>
      <c r="I18" s="4" t="inlineStr">
        <is>
          <t>O Python não conseguiu entender a declaração da sua estrutura de repetição na linha 6. Existe um detalhe de sintaxe ausente na linha do laço que impede o código de ser executado.</t>
        </is>
      </c>
      <c r="J18" s="4" t="inlineStr">
        <is>
          <t>Observe atentamente como você finalizou a instrução da linha 3 (`if`) e compare com a instrução da linha 6 (`while`). Qual sinal de pontuação é exigido pelo Python ao final da linha do cabeçalho dessas estruturas?</t>
        </is>
      </c>
      <c r="K18" s="5" t="inlineStr">
        <is>
          <t>Sintaxe</t>
        </is>
      </c>
      <c r="L18" s="5" t="n">
        <v>6</v>
      </c>
      <c r="M18" s="5" t="inlineStr">
        <is>
          <t>Falta ':' no final do while (linha 6).</t>
        </is>
      </c>
      <c r="N18" s="3">
        <f>IF(AND(H18&lt;&gt;"",K18&lt;&gt;""),IF(H18=K18,1,0),"")</f>
        <v/>
      </c>
      <c r="O18" s="6" t="n">
        <v>4</v>
      </c>
      <c r="P18" s="6" t="n">
        <v>5</v>
      </c>
      <c r="Q18" s="6" t="n">
        <v>5</v>
      </c>
      <c r="R18" s="6" t="n">
        <v>5</v>
      </c>
      <c r="S18" s="6" t="n">
        <v>3</v>
      </c>
      <c r="T18" s="3" t="n"/>
    </row>
    <row r="19" ht="140.25" customHeight="1" s="1">
      <c r="A19" s="3" t="n">
        <v>1153</v>
      </c>
      <c r="B19" s="3" t="n">
        <v>2</v>
      </c>
      <c r="C19" s="3" t="n">
        <v>3</v>
      </c>
      <c r="D19" s="3" t="inlineStr">
        <is>
          <t>Accepted</t>
        </is>
      </c>
      <c r="E19" s="3" t="inlineStr">
        <is>
          <t>N = int(input())
if 0 &lt; N &lt; 13:
    resultado_fatorial = 1
    for i in range(2, N + 1):
        resultado_fatorial *= i
    print(resultado_fatorial)
else:
    print("Por favor, insira um valor válido para N.")</t>
        </is>
      </c>
      <c r="F19" s="4">
        <f>TRUE()</f>
        <v/>
      </c>
      <c r="G19" s="4" t="inlineStr">
        <is>
          <t>-</t>
        </is>
      </c>
      <c r="H19" s="4" t="inlineStr">
        <is>
          <t>Nenhum (código correto)</t>
        </is>
      </c>
      <c r="I19" s="4" t="inlineStr">
        <is>
          <t>Excelente trabalho! Sua lógica para calcular o fatorial está perfeita e cobriu adequadamente o limite do problema.</t>
        </is>
      </c>
      <c r="J19" s="4" t="inlineStr">
        <is>
          <t>Que tal tentar resolver este mesmo problema utilizando recursão para praticar um conceito diferente?</t>
        </is>
      </c>
      <c r="K19" s="5" t="inlineStr">
        <is>
          <t>Nenhum (código correto)</t>
        </is>
      </c>
      <c r="L19" s="5" t="n"/>
      <c r="M19" s="5" t="inlineStr">
        <is>
          <t>Passou 6/6 casos de teste.</t>
        </is>
      </c>
      <c r="N19" s="3">
        <f>IF(AND(H19&lt;&gt;"",K19&lt;&gt;""),IF(H19=K19,1,0),"")</f>
        <v/>
      </c>
      <c r="O19" s="6" t="n">
        <v>5</v>
      </c>
      <c r="P19" s="6" t="n">
        <v>5</v>
      </c>
      <c r="Q19" s="6" t="n">
        <v>4</v>
      </c>
      <c r="R19" s="6" t="n">
        <v>5</v>
      </c>
      <c r="S19" s="6" t="n">
        <v>5</v>
      </c>
      <c r="T19" s="3" t="inlineStr">
        <is>
          <t>Código correto.</t>
        </is>
      </c>
    </row>
    <row r="20" ht="63.75" customHeight="1" s="1">
      <c r="A20" s="3" t="n">
        <v>1153</v>
      </c>
      <c r="B20" s="3" t="n">
        <v>3</v>
      </c>
      <c r="C20" s="3" t="n">
        <v>1</v>
      </c>
      <c r="D20" s="3" t="inlineStr">
        <is>
          <t>Accepted</t>
        </is>
      </c>
      <c r="E20" s="3" t="inlineStr">
        <is>
          <t>N = int(input())
fatorial = 1
for c in range(N, 0, -1):
    fatorial *= c
print('{}'.format(fatorial))</t>
        </is>
      </c>
      <c r="F20" s="4">
        <f>TRUE()</f>
        <v/>
      </c>
      <c r="G20" s="4" t="inlineStr">
        <is>
          <t>-</t>
        </is>
      </c>
      <c r="H20" s="4" t="inlineStr">
        <is>
          <t>Nenhum (código correto)</t>
        </is>
      </c>
      <c r="I20" s="4" t="inlineStr">
        <is>
          <t>Excelente trabalho! Seu código calculou corretamente o fatorial para todos os casos de teste propostos.</t>
        </is>
      </c>
      <c r="J20" s="4" t="inlineStr">
        <is>
          <t>Que tal testar mentalmente seu código com N = 0 para ver como o laço range se comporta nesse cenário limite?</t>
        </is>
      </c>
      <c r="K20" s="5" t="inlineStr">
        <is>
          <t>Nenhum (código correto)</t>
        </is>
      </c>
      <c r="L20" s="5" t="n"/>
      <c r="M20" s="5" t="inlineStr">
        <is>
          <t>Passou 6/6 casos de teste.</t>
        </is>
      </c>
      <c r="N20" s="3">
        <f>IF(AND(H20&lt;&gt;"",K20&lt;&gt;""),IF(H20=K20,1,0),"")</f>
        <v/>
      </c>
      <c r="O20" s="6" t="n">
        <v>5</v>
      </c>
      <c r="P20" s="6" t="n">
        <v>5</v>
      </c>
      <c r="Q20" s="6" t="n">
        <v>4</v>
      </c>
      <c r="R20" s="6" t="n">
        <v>5</v>
      </c>
      <c r="S20" s="6" t="n">
        <v>5</v>
      </c>
      <c r="T20" s="3" t="inlineStr">
        <is>
          <t>Código correto.</t>
        </is>
      </c>
    </row>
    <row r="21" ht="293.25" customHeight="1" s="1">
      <c r="A21" s="3" t="n">
        <v>1828</v>
      </c>
      <c r="B21" s="3" t="n">
        <v>1</v>
      </c>
      <c r="C21" s="3" t="n">
        <v>1</v>
      </c>
      <c r="D21" s="3" t="inlineStr">
        <is>
          <t>Runtime error</t>
        </is>
      </c>
      <c r="E21" s="3" t="inlineStr">
        <is>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1" s="4">
        <f>FALSE()</f>
        <v/>
      </c>
      <c r="G21" s="4" t="n">
        <v>16</v>
      </c>
      <c r="H21" s="4" t="inlineStr">
        <is>
          <t>Sintaxe</t>
        </is>
      </c>
      <c r="I21" s="4" t="inlineStr">
        <is>
          <t>O interpretador Python interrompeu a análise do seu código antes mesmo da execução por conta de um detalhe estrutural na linha 16.</t>
        </is>
      </c>
      <c r="J21" s="4" t="inlineStr">
        <is>
          <t>Observe atentamente os símbolos na linha 16: se você contar quantos parênteses foram abertos nessa instrução, quantos você encontra fechados na mesma linha?</t>
        </is>
      </c>
      <c r="K21" s="5" t="inlineStr">
        <is>
          <t>Sintaxe</t>
        </is>
      </c>
      <c r="L21" s="5" t="n">
        <v>16</v>
      </c>
      <c r="M21" s="5" t="inlineStr">
        <is>
          <t>Parêntese aberto e não fechado no print (linha 16).</t>
        </is>
      </c>
      <c r="N21" s="3">
        <f>IF(AND(H21&lt;&gt;"",K21&lt;&gt;""),IF(H21=K21,1,0),"")</f>
        <v/>
      </c>
      <c r="O21" s="6" t="n">
        <v>4</v>
      </c>
      <c r="P21" s="6" t="n">
        <v>5</v>
      </c>
      <c r="Q21" s="6" t="n">
        <v>5</v>
      </c>
      <c r="R21" s="6" t="n">
        <v>5</v>
      </c>
      <c r="S21" s="6" t="n">
        <v>3</v>
      </c>
      <c r="T21" s="3" t="n"/>
    </row>
    <row r="22" ht="293.25" customHeight="1" s="1">
      <c r="A22" s="3" t="n">
        <v>1828</v>
      </c>
      <c r="B22" s="3" t="n">
        <v>1</v>
      </c>
      <c r="C22" s="3" t="n">
        <v>2</v>
      </c>
      <c r="D22" s="3" t="inlineStr">
        <is>
          <t>Wrong answer (5%)</t>
        </is>
      </c>
      <c r="E22" s="3" t="inlineStr">
        <is>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2" s="4">
        <f>FALSE()</f>
        <v/>
      </c>
      <c r="G22" s="4" t="n">
        <v>3</v>
      </c>
      <c r="H22" s="4" t="inlineStr">
        <is>
          <t>Lógica</t>
        </is>
      </c>
      <c r="I22" s="4" t="inlineStr">
        <is>
          <t>A sua estrutura condicional e a lógica do jogo estão perfeitas! Porém, a primeira linha de entrada está fazendo o seu programa exibir um texto que não deveria aparecer na saída final.</t>
        </is>
      </c>
      <c r="J22" s="4" t="inlineStr">
        <is>
          <t>O que acontece com a tela ou saída padrão do Python quando passamos um texto entre aspas dentro da função input()?</t>
        </is>
      </c>
      <c r="K22" s="5" t="inlineStr">
        <is>
          <t>Lógica</t>
        </is>
      </c>
      <c r="L22" s="5" t="n">
        <v>3</v>
      </c>
      <c r="M22" s="5" t="inlineStr">
        <is>
          <t>input() com texto de prompt imprime o prompt na saída, quebrando a correção.</t>
        </is>
      </c>
      <c r="N22" s="3">
        <f>IF(AND(H22&lt;&gt;"",K22&lt;&gt;""),IF(H22=K22,1,0),"")</f>
        <v/>
      </c>
      <c r="O22" s="6" t="n">
        <v>4</v>
      </c>
      <c r="P22" s="6" t="n">
        <v>5</v>
      </c>
      <c r="Q22" s="6" t="n">
        <v>5</v>
      </c>
      <c r="R22" s="6" t="n">
        <v>4</v>
      </c>
      <c r="S22" s="6" t="n">
        <v>4</v>
      </c>
      <c r="T22" s="3" t="n"/>
    </row>
    <row r="23" ht="293.25" customHeight="1" s="1">
      <c r="A23" s="3" t="n">
        <v>1828</v>
      </c>
      <c r="B23" s="3" t="n">
        <v>1</v>
      </c>
      <c r="C23" s="3" t="n">
        <v>3</v>
      </c>
      <c r="D23" s="3" t="inlineStr">
        <is>
          <t>Accepted</t>
        </is>
      </c>
      <c r="E23" s="3" t="inlineStr">
        <is>
          <t># -*- coding: utf-8 -*-
T = int(input())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3" s="4">
        <f>TRUE()</f>
        <v/>
      </c>
      <c r="G23" s="4" t="inlineStr">
        <is>
          <t>-</t>
        </is>
      </c>
      <c r="H23" s="4" t="inlineStr">
        <is>
          <t>Nenhum (código correto)</t>
        </is>
      </c>
      <c r="I23" s="4" t="inlineStr">
        <is>
          <t>Parabéns! Sua lógica está impecável e cobre todas as regras e combinações do jogo perfeitamente.</t>
        </is>
      </c>
      <c r="J23" s="4" t="inlineStr">
        <is>
          <t>Como desafio para reflexão: você sabia que pode usar uma estrutura de dados como dicionário para mapear o que cada escolha vence, deixando o código mais enxuto?</t>
        </is>
      </c>
      <c r="K23" s="5" t="inlineStr">
        <is>
          <t>Nenhum (código correto)</t>
        </is>
      </c>
      <c r="L23" s="5" t="n"/>
      <c r="M23" s="5" t="inlineStr">
        <is>
          <t>Passou 4/4 casos de teste.</t>
        </is>
      </c>
      <c r="N23" s="3">
        <f>IF(AND(H23&lt;&gt;"",K23&lt;&gt;""),IF(H23=K23,1,0),"")</f>
        <v/>
      </c>
      <c r="O23" s="6" t="n">
        <v>5</v>
      </c>
      <c r="P23" s="6" t="n">
        <v>5</v>
      </c>
      <c r="Q23" s="6" t="n">
        <v>4</v>
      </c>
      <c r="R23" s="6" t="n">
        <v>5</v>
      </c>
      <c r="S23" s="6" t="n">
        <v>5</v>
      </c>
      <c r="T23" s="3" t="inlineStr">
        <is>
          <t>Código correto.</t>
        </is>
      </c>
    </row>
    <row r="24" ht="409.5" customHeight="1" s="1">
      <c r="A24" s="3" t="n">
        <v>1828</v>
      </c>
      <c r="B24" s="3" t="n">
        <v>2</v>
      </c>
      <c r="C24" s="3" t="n">
        <v>1</v>
      </c>
      <c r="D24" s="3" t="inlineStr">
        <is>
          <t>Runtime error</t>
        </is>
      </c>
      <c r="E24" s="3"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4" s="4">
        <f>FALSE()</f>
        <v/>
      </c>
      <c r="G24" s="4" t="n">
        <v>7</v>
      </c>
      <c r="H24" s="4" t="inlineStr">
        <is>
          <t>Sintaxe</t>
        </is>
      </c>
      <c r="I24" s="4" t="inlineStr">
        <is>
          <t>O Python não conseguiu começar a executar seu código devido a um problema no alinhamento das instruções (indentação) dentro do laço de repetição.</t>
        </is>
      </c>
      <c r="J24" s="4" t="inlineStr">
        <is>
          <t>Observe o início da linha 7 e compare o alinhamento dela com a instrução da linha 5. Os comandos dentro do mesmo bloco estão com a mesma quantidade de espaços?</t>
        </is>
      </c>
      <c r="K24" s="5" t="inlineStr">
        <is>
          <t>Sintaxe</t>
        </is>
      </c>
      <c r="L24" s="5" t="n">
        <v>7</v>
      </c>
      <c r="M24" s="5" t="inlineStr">
        <is>
          <t>Indentação inconsistente (linha 7): IndentationError.</t>
        </is>
      </c>
      <c r="N24" s="3">
        <f>IF(AND(H24&lt;&gt;"",K24&lt;&gt;""),IF(H24=K24,1,0),"")</f>
        <v/>
      </c>
      <c r="O24" s="6" t="n">
        <v>4</v>
      </c>
      <c r="P24" s="6" t="n">
        <v>5</v>
      </c>
      <c r="Q24" s="6" t="n">
        <v>5</v>
      </c>
      <c r="R24" s="6" t="n">
        <v>5</v>
      </c>
      <c r="S24" s="6" t="n">
        <v>3</v>
      </c>
      <c r="T24" s="3" t="n"/>
    </row>
    <row r="25" ht="409.5" customHeight="1" s="1">
      <c r="A25" s="3" t="n">
        <v>1828</v>
      </c>
      <c r="B25" s="3" t="n">
        <v>2</v>
      </c>
      <c r="C25" s="3" t="n">
        <v>2</v>
      </c>
      <c r="D25" s="3" t="inlineStr">
        <is>
          <t>Wrong answer (100%)</t>
        </is>
      </c>
      <c r="E25" s="3"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5" s="4">
        <f>FALSE()</f>
        <v/>
      </c>
      <c r="G25" s="4" t="n">
        <v>7</v>
      </c>
      <c r="H25" s="4" t="inlineStr">
        <is>
          <t>Lógica</t>
        </is>
      </c>
      <c r="I25" s="4" t="inlineStr">
        <is>
          <t>Notei que quando o programa recebe múltiplos casos de teste, ele lê todas as entradas de uma vez, mas não exibe uma resposta para cada rodada.</t>
        </is>
      </c>
      <c r="J25" s="4" t="inlineStr">
        <is>
          <t>Experimente simular o seu código no papel para o Caso 1 (onde N = 3). Quantas vezes a instrução 'print' é executada enquanto o laço 'for' está rodando?</t>
        </is>
      </c>
      <c r="K25" s="5" t="inlineStr">
        <is>
          <t>Lógica</t>
        </is>
      </c>
      <c r="L25" s="5" t="n">
        <v>7</v>
      </c>
      <c r="M25" s="5" t="inlineStr">
        <is>
          <t>print fora do for: só imprime o último caso.</t>
        </is>
      </c>
      <c r="N25" s="3">
        <f>IF(AND(H25&lt;&gt;"",K25&lt;&gt;""),IF(H25=K25,1,0),"")</f>
        <v/>
      </c>
      <c r="O25" s="6" t="n">
        <v>5</v>
      </c>
      <c r="P25" s="6" t="n">
        <v>5</v>
      </c>
      <c r="Q25" s="6" t="n">
        <v>5</v>
      </c>
      <c r="R25" s="6" t="n">
        <v>5</v>
      </c>
      <c r="S25" s="6" t="n">
        <v>3</v>
      </c>
      <c r="T25" s="3" t="n"/>
    </row>
    <row r="26" ht="409.5" customHeight="1" s="1">
      <c r="A26" s="3" t="n">
        <v>1828</v>
      </c>
      <c r="B26" s="3" t="n">
        <v>2</v>
      </c>
      <c r="C26" s="3" t="n">
        <v>3</v>
      </c>
      <c r="D26" s="3" t="inlineStr">
        <is>
          <t>Accepted</t>
        </is>
      </c>
      <c r="E26" s="3"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6" s="4">
        <f>TRUE()</f>
        <v/>
      </c>
      <c r="G26" s="4" t="inlineStr">
        <is>
          <t>-</t>
        </is>
      </c>
      <c r="H26" s="4" t="inlineStr">
        <is>
          <t>Nenhum (código correto)</t>
        </is>
      </c>
      <c r="I26" s="4" t="inlineStr">
        <is>
          <t>Excelente trabalho! O seu código passou em todos os casos de teste e implementou a lógica do jogo perfeitamente.</t>
        </is>
      </c>
      <c r="J26" s="4" t="inlineStr">
        <is>
          <t>Como seu código está correto, que tal pensar em como simplificar essa grande estrutura de condicionais usando dicionários em Python?</t>
        </is>
      </c>
      <c r="K26" s="5" t="inlineStr">
        <is>
          <t>Nenhum (código correto)</t>
        </is>
      </c>
      <c r="L26" s="5" t="n"/>
      <c r="M26" s="5" t="inlineStr">
        <is>
          <t>Passou 4/4 casos de teste.</t>
        </is>
      </c>
      <c r="N26" s="3">
        <f>IF(AND(H26&lt;&gt;"",K26&lt;&gt;""),IF(H26=K26,1,0),"")</f>
        <v/>
      </c>
      <c r="O26" s="6" t="n">
        <v>5</v>
      </c>
      <c r="P26" s="6" t="n">
        <v>5</v>
      </c>
      <c r="Q26" s="6" t="n">
        <v>4</v>
      </c>
      <c r="R26" s="6" t="n">
        <v>5</v>
      </c>
      <c r="S26" s="6" t="n">
        <v>5</v>
      </c>
      <c r="T26" s="3" t="inlineStr">
        <is>
          <t>Código correto.</t>
        </is>
      </c>
    </row>
    <row r="27" ht="242.25" customHeight="1" s="1">
      <c r="A27" s="3" t="n">
        <v>1828</v>
      </c>
      <c r="B27" s="3" t="n">
        <v>3</v>
      </c>
      <c r="C27" s="3" t="n">
        <v>1</v>
      </c>
      <c r="D27" s="3" t="inlineStr">
        <is>
          <t>Accepted</t>
        </is>
      </c>
      <c r="E27" s="3" t="inlineStr">
        <is>
          <t>def vence(sheldon, rajesh):
    regras = {
        'tesoura': ['papel', 'lagarto'],
        'papel': ['pedra', 'Spock'],
        'pedra': ['lagarto', 'tesoura'],
        'lagarto': ['Spock', 'papel'],
        'Spock': ['tesoura', 'pedra']
    }
    if sheldon == rajesh:
        return 'De novo!'
    elif rajesh in regras[sheldon]:
        return 'Bazinga!'
    else:
        return 'Raj trapaceou!'
T = int(input())
for caso in range(1, T+1):
    sheldon, rajesh = input().split()
    resultado = vence(sheldon, rajesh)
    print('Caso #{}: {}'.format(caso, resultado))</t>
        </is>
      </c>
      <c r="F27" s="4">
        <f>TRUE()</f>
        <v/>
      </c>
      <c r="G27" s="4" t="inlineStr">
        <is>
          <t>-</t>
        </is>
      </c>
      <c r="H27" s="4" t="inlineStr">
        <is>
          <t>Nenhum (código correto)</t>
        </is>
      </c>
      <c r="I27" s="4" t="inlineStr">
        <is>
          <t>Excelente trabalho! Seu código está muito bem estruturado, a lógica das regras com dicionário ficou limpa e legível, e passou em todos os casos de teste.</t>
        </is>
      </c>
      <c r="J27" s="4" t="inlineStr">
        <is>
          <t>Que tal tentar resolver o problema com outra estrutura de dados ou criar novos casos de teste para praticar?</t>
        </is>
      </c>
      <c r="K27" s="5" t="inlineStr">
        <is>
          <t>Nenhum (código correto)</t>
        </is>
      </c>
      <c r="L27" s="5" t="n"/>
      <c r="M27" s="5" t="inlineStr">
        <is>
          <t>Passou 4/4 casos de teste.</t>
        </is>
      </c>
      <c r="N27" s="3">
        <f>IF(AND(H27&lt;&gt;"",K27&lt;&gt;""),IF(H27=K27,1,0),"")</f>
        <v/>
      </c>
      <c r="O27" s="6" t="n">
        <v>5</v>
      </c>
      <c r="P27" s="6" t="n">
        <v>5</v>
      </c>
      <c r="Q27" s="6" t="n">
        <v>3</v>
      </c>
      <c r="R27" s="6" t="n">
        <v>5</v>
      </c>
      <c r="S27" s="6" t="n">
        <v>5</v>
      </c>
      <c r="T27" s="3" t="inlineStr">
        <is>
          <t>Código correto.</t>
        </is>
      </c>
    </row>
    <row r="28" ht="267.75" customHeight="1" s="1">
      <c r="A28" s="3" t="n">
        <v>1873</v>
      </c>
      <c r="B28" s="3" t="n">
        <v>1</v>
      </c>
      <c r="C28" s="3" t="n">
        <v>1</v>
      </c>
      <c r="D28" s="3" t="inlineStr">
        <is>
          <t>Runtime error</t>
        </is>
      </c>
      <c r="E28" s="3"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is>
      </c>
      <c r="F28" s="4">
        <f>FALSE()</f>
        <v/>
      </c>
      <c r="G28" s="4" t="n">
        <v>14</v>
      </c>
      <c r="H28" s="4" t="inlineStr">
        <is>
          <t>Sintaxe</t>
        </is>
      </c>
      <c r="I28" s="4" t="inlineStr">
        <is>
          <t>O interpretador Python não conseguiu executar o programa porque encontrou uma falha na sintaxe do seu comando condicional.</t>
        </is>
      </c>
      <c r="J28" s="4" t="inlineStr">
        <is>
          <t>Compare a linha 8 (onde você escreveu o `if`) com a linha 14 (onde termina o seu `elif`). Qual símbolo o Python exige ao final de uma linha de condição para iniciar o bloco de código?</t>
        </is>
      </c>
      <c r="K28" s="5" t="inlineStr">
        <is>
          <t>Sintaxe</t>
        </is>
      </c>
      <c r="L28" s="5" t="n">
        <v>13</v>
      </c>
      <c r="M28" s="5" t="inlineStr">
        <is>
          <t>Falta ':' no final do elif (linha 13).</t>
        </is>
      </c>
      <c r="N28" s="3">
        <f>IF(AND(H28&lt;&gt;"",K28&lt;&gt;""),IF(H28=K28,1,0),"")</f>
        <v/>
      </c>
      <c r="O28" s="6" t="n">
        <v>4</v>
      </c>
      <c r="P28" s="6" t="n">
        <v>5</v>
      </c>
      <c r="Q28" s="6" t="n">
        <v>5</v>
      </c>
      <c r="R28" s="6" t="n">
        <v>5</v>
      </c>
      <c r="S28" s="6" t="n">
        <v>3</v>
      </c>
      <c r="T28" s="3" t="n"/>
    </row>
    <row r="29" ht="267.75" customHeight="1" s="1">
      <c r="A29" s="3" t="n">
        <v>1873</v>
      </c>
      <c r="B29" s="3" t="n">
        <v>1</v>
      </c>
      <c r="C29" s="3" t="n">
        <v>2</v>
      </c>
      <c r="D29" s="3" t="inlineStr">
        <is>
          <t>Wrong answer (25%)</t>
        </is>
      </c>
      <c r="E29" s="3"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is>
      </c>
      <c r="F29" s="4">
        <f>FALSE()</f>
        <v/>
      </c>
      <c r="G29" s="4" t="n">
        <v>6</v>
      </c>
      <c r="H29" s="4" t="inlineStr">
        <is>
          <t>Lógica</t>
        </is>
      </c>
      <c r="I29" s="4" t="inlineStr">
        <is>
          <t>Seu código roda do início ao fim sem erros de execução, mas a lógica de atribuição das escolhas aos jogadores não reflete a ordem indicada no enunciado.</t>
        </is>
      </c>
      <c r="J29" s="4" t="inlineStr">
        <is>
          <t>Simule seu código com a entrada 'pedra tesoura'. Ao executar a linha de leitura das variáveis, qual valor é armazenado em 'sheldon' e qual fica em 'rajesh'? Essa atribuição coincide com a ordem em que as escolhas foram feitas no enunciado?</t>
        </is>
      </c>
      <c r="K29" s="5" t="inlineStr">
        <is>
          <t>Lógica</t>
        </is>
      </c>
      <c r="L29" s="5" t="n">
        <v>6</v>
      </c>
      <c r="M29" s="5" t="inlineStr">
        <is>
          <t>Ordem de leitura trocada: inverte rajesh/sheldon.</t>
        </is>
      </c>
      <c r="N29" s="3">
        <f>IF(AND(H29&lt;&gt;"",K29&lt;&gt;""),IF(H29=K29,1,0),"")</f>
        <v/>
      </c>
      <c r="O29" s="6" t="n">
        <v>5</v>
      </c>
      <c r="P29" s="6" t="n">
        <v>5</v>
      </c>
      <c r="Q29" s="6" t="n">
        <v>5</v>
      </c>
      <c r="R29" s="6" t="n">
        <v>5</v>
      </c>
      <c r="S29" s="6" t="n">
        <v>3</v>
      </c>
      <c r="T29" s="3" t="inlineStr">
        <is>
          <t>[RASCUNHO/juiz] Diagnóstico específico duvidoso (foca capitalização; Gold indica ordem de leitura) -- mesmo tipo (Lógica).</t>
        </is>
      </c>
    </row>
    <row r="30" ht="382.5" customHeight="1" s="1">
      <c r="A30" s="3" t="n">
        <v>1873</v>
      </c>
      <c r="B30" s="3" t="n">
        <v>1</v>
      </c>
      <c r="C30" s="3" t="n">
        <v>3</v>
      </c>
      <c r="D30" s="3" t="inlineStr">
        <is>
          <t>Wrong answer (25%)</t>
        </is>
      </c>
      <c r="E30" s="3"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print('sheldon')</t>
        </is>
      </c>
      <c r="F30" s="4">
        <f>FALSE()</f>
        <v/>
      </c>
      <c r="G30" s="4" t="n">
        <v>20</v>
      </c>
      <c r="H30" s="4" t="inlineStr">
        <is>
          <t>Lógica</t>
        </is>
      </c>
      <c r="I30" s="4" t="inlineStr">
        <is>
          <t>O seu código tem a estrutura lógica das regras muito bem organizada, mas há um detalhe na mensagem impressa quando a rodada atende às condições do segundo 'elif'.</t>
        </is>
      </c>
      <c r="J30" s="4" t="inlineStr">
        <is>
          <t>Quando as condições do último 'elif' (onde são testadas as jogadas do Rajesh) são verdadeiras, qual é o texto exato que o seu programa imprime na tela?</t>
        </is>
      </c>
      <c r="K30" s="5" t="inlineStr">
        <is>
          <t>Lógica</t>
        </is>
      </c>
      <c r="L30" s="5" t="n">
        <v>20</v>
      </c>
      <c r="M30" s="5" t="inlineStr">
        <is>
          <t>Imprime o nome errado no segundo elif (copia-e-cola).</t>
        </is>
      </c>
      <c r="N30" s="3">
        <f>IF(AND(H30&lt;&gt;"",K30&lt;&gt;""),IF(H30=K30,1,0),"")</f>
        <v/>
      </c>
      <c r="O30" s="6" t="n">
        <v>5</v>
      </c>
      <c r="P30" s="6" t="n">
        <v>5</v>
      </c>
      <c r="Q30" s="6" t="n">
        <v>5</v>
      </c>
      <c r="R30" s="6" t="n">
        <v>5</v>
      </c>
      <c r="S30" s="6" t="n">
        <v>4</v>
      </c>
      <c r="T30" s="3" t="n"/>
    </row>
    <row r="31" ht="382.5" customHeight="1" s="1">
      <c r="A31" s="3" t="n">
        <v>1873</v>
      </c>
      <c r="B31" s="3" t="n">
        <v>1</v>
      </c>
      <c r="C31" s="3" t="n">
        <v>4</v>
      </c>
      <c r="D31" s="3" t="inlineStr">
        <is>
          <t>Wrong answer (25%)</t>
        </is>
      </c>
      <c r="E31" s="3"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print('rajesh')</t>
        </is>
      </c>
      <c r="F31" s="4">
        <f>FALSE()</f>
        <v/>
      </c>
      <c r="G31" s="4" t="n">
        <v>6</v>
      </c>
      <c r="H31" s="4" t="inlineStr">
        <is>
          <t>Lógica</t>
        </is>
      </c>
      <c r="I31" s="4" t="inlineStr">
        <is>
          <t>Seu código executa sem erros e a lógica do jogo está muito bem estruturada! No entanto, a forma como as jogadas estão sendo associadas a cada jogador não corresponde à ordem descrita no enunciado.</t>
        </is>
      </c>
      <c r="J31" s="4" t="inlineStr">
        <is>
          <t>Se a entrada for 'pedra tesoura', qual valor a variável `sheldon` recebe e qual valor a variável `rajesh` recebe na linha 6? O que o seu código imprime ao processar essa entrada?</t>
        </is>
      </c>
      <c r="K31" s="5" t="inlineStr">
        <is>
          <t>Lógica</t>
        </is>
      </c>
      <c r="L31" s="5" t="n">
        <v>6</v>
      </c>
      <c r="M31" s="5" t="inlineStr">
        <is>
          <t>Ordem de leitura trocada entre os jogadores.</t>
        </is>
      </c>
      <c r="N31" s="3">
        <f>IF(AND(H31&lt;&gt;"",K31&lt;&gt;""),IF(H31=K31,1,0),"")</f>
        <v/>
      </c>
      <c r="O31" s="6" t="n">
        <v>5</v>
      </c>
      <c r="P31" s="6" t="n">
        <v>5</v>
      </c>
      <c r="Q31" s="6" t="n">
        <v>5</v>
      </c>
      <c r="R31" s="6" t="n">
        <v>5</v>
      </c>
      <c r="S31" s="6" t="n">
        <v>4</v>
      </c>
      <c r="T31" s="3" t="n"/>
    </row>
    <row r="32" ht="318.75" customHeight="1" s="1">
      <c r="A32" s="3" t="n">
        <v>1873</v>
      </c>
      <c r="B32" s="3" t="n">
        <v>1</v>
      </c>
      <c r="C32" s="3" t="n">
        <v>5</v>
      </c>
      <c r="D32" s="3" t="inlineStr">
        <is>
          <t>Runtime error</t>
        </is>
      </c>
      <c r="E32" s="3" t="inlineStr">
        <is>
          <t># -*- coding: utf-8 -*-
C = int(input())
for c in range(C):
  rajesh = str(input())
  sheldon = str(input())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2" s="4">
        <f>FALSE()</f>
        <v/>
      </c>
      <c r="G32" s="4" t="n">
        <v>6</v>
      </c>
      <c r="H32" s="4" t="inlineStr">
        <is>
          <t>Execução</t>
        </is>
      </c>
      <c r="I32" s="4" t="inlineStr">
        <is>
          <t>Seu código interrompe a execução com um erro antes de conseguir processar todos os casos de teste. Isso acontece porque a forma de ler as entradas está consumindo as linhas mais rápido do que o esperado.</t>
        </is>
      </c>
      <c r="J32" s="4" t="inlineStr">
        <is>
          <t>Considere o Caso 1, onde a primeira linha após o número 6 é 'pedra tesoura'. Se você executar apenas a linha 'rajesh = str(input())', qual texto exato fica guardado na variável 'rajesh'?</t>
        </is>
      </c>
      <c r="K32" s="5" t="inlineStr">
        <is>
          <t>Execução</t>
        </is>
      </c>
      <c r="L32" s="5" t="n">
        <v>6</v>
      </c>
      <c r="M32" s="5" t="inlineStr">
        <is>
          <t>Duas chamadas input() separadas: consome as linhas na ordem errada -&gt; EOFError.</t>
        </is>
      </c>
      <c r="N32" s="3">
        <f>IF(AND(H32&lt;&gt;"",K32&lt;&gt;""),IF(H32=K32,1,0),"")</f>
        <v/>
      </c>
      <c r="O32" s="6" t="n">
        <v>5</v>
      </c>
      <c r="P32" s="6" t="n">
        <v>5</v>
      </c>
      <c r="Q32" s="6" t="n">
        <v>5</v>
      </c>
      <c r="R32" s="6" t="n">
        <v>5</v>
      </c>
      <c r="S32" s="6" t="n">
        <v>3</v>
      </c>
      <c r="T32" s="3" t="inlineStr">
        <is>
          <t>[RASCUNHO/juiz] Diagnóstico coerente com Gold (leitura de entrada); tipo marcado Lógica vs Execução.</t>
        </is>
      </c>
    </row>
    <row r="33" ht="306" customHeight="1" s="1">
      <c r="A33" s="3" t="n">
        <v>1873</v>
      </c>
      <c r="B33" s="3" t="n">
        <v>1</v>
      </c>
      <c r="C33" s="3" t="n">
        <v>6</v>
      </c>
      <c r="D33" s="3" t="inlineStr">
        <is>
          <t>Runtime error</t>
        </is>
      </c>
      <c r="E33" s="3"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3" s="4">
        <f>FALSE()</f>
        <v/>
      </c>
      <c r="G33" s="4" t="n">
        <v>6</v>
      </c>
      <c r="H33" s="4" t="inlineStr">
        <is>
          <t>Sintaxe</t>
        </is>
      </c>
      <c r="I33" s="4" t="inlineStr">
        <is>
          <t>O interpretador Python encontrou um problema de sintaxe logo no início da leitura dos dados e não conseguiu executar o seu programa.</t>
        </is>
      </c>
      <c r="J33" s="4" t="inlineStr">
        <is>
          <t>Examine atentamente a linha 6. Se você contar cada parêntese aberto '(' e cada parêntese fechado ')', o que você nota sobre a quantidade deles?</t>
        </is>
      </c>
      <c r="K33" s="5" t="inlineStr">
        <is>
          <t>Sintaxe</t>
        </is>
      </c>
      <c r="L33" s="5" t="n">
        <v>6</v>
      </c>
      <c r="M33" s="5" t="inlineStr">
        <is>
          <t>Parêntese aberto e não fechado em map() (linha 6).</t>
        </is>
      </c>
      <c r="N33" s="3">
        <f>IF(AND(H33&lt;&gt;"",K33&lt;&gt;""),IF(H33=K33,1,0),"")</f>
        <v/>
      </c>
      <c r="O33" s="6" t="n">
        <v>4</v>
      </c>
      <c r="P33" s="6" t="n">
        <v>5</v>
      </c>
      <c r="Q33" s="6" t="n">
        <v>5</v>
      </c>
      <c r="R33" s="6" t="n">
        <v>5</v>
      </c>
      <c r="S33" s="6" t="n">
        <v>3</v>
      </c>
      <c r="T33" s="3" t="n"/>
    </row>
    <row r="34" ht="306" customHeight="1" s="1">
      <c r="A34" s="3" t="n">
        <v>1873</v>
      </c>
      <c r="B34" s="3" t="n">
        <v>1</v>
      </c>
      <c r="C34" s="3" t="n">
        <v>7</v>
      </c>
      <c r="D34" s="3" t="inlineStr">
        <is>
          <t>Runtime error</t>
        </is>
      </c>
      <c r="E34" s="3"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4" s="4">
        <f>FALSE()</f>
        <v/>
      </c>
      <c r="G34" s="4" t="n">
        <v>6</v>
      </c>
      <c r="H34" s="4" t="inlineStr">
        <is>
          <t>Sintaxe</t>
        </is>
      </c>
      <c r="I34" s="4" t="inlineStr">
        <is>
          <t>O Python não conseguiu nem começar a executar o seu programa porque encontrou um problema de estrutura/sintaxe logo na leitura dos dados.</t>
        </is>
      </c>
      <c r="J34" s="4" t="inlineStr">
        <is>
          <t>Examine atentamente a linha 6. Se você contar a quantidade de parênteses abertos '(' e parênteses fechados ')', o que você nota?</t>
        </is>
      </c>
      <c r="K34" s="5" t="inlineStr">
        <is>
          <t>Sintaxe</t>
        </is>
      </c>
      <c r="L34" s="5" t="n">
        <v>6</v>
      </c>
      <c r="M34" s="5" t="inlineStr">
        <is>
          <t>Parêntese aberto e não fechado em map() (linha 6).</t>
        </is>
      </c>
      <c r="N34" s="3">
        <f>IF(AND(H34&lt;&gt;"",K34&lt;&gt;""),IF(H34=K34,1,0),"")</f>
        <v/>
      </c>
      <c r="O34" s="6" t="n">
        <v>4</v>
      </c>
      <c r="P34" s="6" t="n">
        <v>5</v>
      </c>
      <c r="Q34" s="6" t="n">
        <v>5</v>
      </c>
      <c r="R34" s="6" t="n">
        <v>5</v>
      </c>
      <c r="S34" s="6" t="n">
        <v>3</v>
      </c>
      <c r="T34" s="3" t="n"/>
    </row>
    <row r="35" ht="306" customHeight="1" s="1">
      <c r="A35" s="3" t="n">
        <v>1873</v>
      </c>
      <c r="B35" s="3" t="n">
        <v>1</v>
      </c>
      <c r="C35" s="3" t="n">
        <v>8</v>
      </c>
      <c r="D35" s="3" t="inlineStr">
        <is>
          <t>Accepted</t>
        </is>
      </c>
      <c r="E35" s="3"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5" s="4">
        <f>TRUE()</f>
        <v/>
      </c>
      <c r="G35" s="4" t="inlineStr">
        <is>
          <t>-</t>
        </is>
      </c>
      <c r="H35" s="4" t="inlineStr">
        <is>
          <t>Nenhum (código correto)</t>
        </is>
      </c>
      <c r="I35" s="4" t="inlineStr">
        <is>
          <t>Parabéns! Seu código está muito bem estruturado e passou em todos os casos de teste com sucesso.</t>
        </is>
      </c>
      <c r="J35" s="4" t="inlineStr">
        <is>
          <t>Como desafio adicional para praticar, você saberia como simplificar essas várias condições 'and'/'or' utilizando uma estrutura de dados como dicionário ou listas?</t>
        </is>
      </c>
      <c r="K35" s="5" t="inlineStr">
        <is>
          <t>Nenhum (código correto)</t>
        </is>
      </c>
      <c r="L35" s="5" t="n"/>
      <c r="M35" s="5" t="inlineStr">
        <is>
          <t>Passou 4/4 casos de teste.</t>
        </is>
      </c>
      <c r="N35" s="3">
        <f>IF(AND(H35&lt;&gt;"",K35&lt;&gt;""),IF(H35=K35,1,0),"")</f>
        <v/>
      </c>
      <c r="O35" s="6" t="n">
        <v>5</v>
      </c>
      <c r="P35" s="6" t="n">
        <v>5</v>
      </c>
      <c r="Q35" s="6" t="n">
        <v>4</v>
      </c>
      <c r="R35" s="6" t="n">
        <v>5</v>
      </c>
      <c r="S35" s="6" t="n">
        <v>5</v>
      </c>
      <c r="T35" s="3" t="inlineStr">
        <is>
          <t>Código correto (confirmado por 4/4 casos de teste).</t>
        </is>
      </c>
    </row>
    <row r="36" ht="318.75" customHeight="1" s="1">
      <c r="A36" s="3" t="n">
        <v>1873</v>
      </c>
      <c r="B36" s="3" t="n">
        <v>2</v>
      </c>
      <c r="C36" s="3" t="n">
        <v>1</v>
      </c>
      <c r="D36" s="3" t="inlineStr">
        <is>
          <t>Runtime error</t>
        </is>
      </c>
      <c r="E36" s="3" t="inlineStr">
        <is>
          <t>C = int(input())
regras = {
    "tesoura": ["papel", "lagarto"],
    "papel": ["pedra", "Spock"],
    "pedra": ["lagarto", "tesoura"],
    "lagarto": ["Spock", "papel"],
    "Spock": ["tesoura", "pedra"]
}
de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36" s="4">
        <f>FALSE()</f>
        <v/>
      </c>
      <c r="G36" s="4" t="n">
        <v>11</v>
      </c>
      <c r="H36" s="4" t="inlineStr">
        <is>
          <t>Sintaxe</t>
        </is>
      </c>
      <c r="I36" s="4" t="inlineStr">
        <is>
          <t>O Python encontrou um problema ao tentar entender a criação da sua função na linha 11, impedindo o programa de ser executado.</t>
        </is>
      </c>
      <c r="J36" s="4" t="inlineStr">
        <is>
          <t>Observe atentamente a palavra que você utilizou para iniciar a definição da função 'determinar_vencedor' na linha 11. Ela está escrita exatamente como o Python exige para declarar funções?</t>
        </is>
      </c>
      <c r="K36" s="5" t="inlineStr">
        <is>
          <t>Sintaxe</t>
        </is>
      </c>
      <c r="L36" s="5" t="n">
        <v>11</v>
      </c>
      <c r="M36" s="5" t="inlineStr">
        <is>
          <t>'de' em vez de 'def' (linha 11): SyntaxError.</t>
        </is>
      </c>
      <c r="N36" s="3">
        <f>IF(AND(H36&lt;&gt;"",K36&lt;&gt;""),IF(H36=K36,1,0),"")</f>
        <v/>
      </c>
      <c r="O36" s="6" t="n">
        <v>4</v>
      </c>
      <c r="P36" s="6" t="n">
        <v>5</v>
      </c>
      <c r="Q36" s="6" t="n">
        <v>5</v>
      </c>
      <c r="R36" s="6" t="n">
        <v>5</v>
      </c>
      <c r="S36" s="6" t="n">
        <v>3</v>
      </c>
      <c r="T36" s="3" t="n"/>
    </row>
    <row r="37" ht="318.75" customHeight="1" s="1">
      <c r="A37" s="3" t="n">
        <v>1873</v>
      </c>
      <c r="B37" s="3" t="n">
        <v>2</v>
      </c>
      <c r="C37" s="3" t="n">
        <v>2</v>
      </c>
      <c r="D37" s="3" t="inlineStr">
        <is>
          <t>Runtime error</t>
        </is>
      </c>
      <c r="E37"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prit(resultado)</t>
        </is>
      </c>
      <c r="F37" s="4">
        <f>FALSE()</f>
        <v/>
      </c>
      <c r="G37" s="4" t="n">
        <v>24</v>
      </c>
      <c r="H37" s="4" t="inlineStr">
        <is>
          <t>Execução</t>
        </is>
      </c>
      <c r="I37" s="4" t="inlineStr">
        <is>
          <t>Ao tentar executar seu código, o Python interrompe o programa na linha 24 com uma mensagem informando que um comando não foi reconhecido.</t>
        </is>
      </c>
      <c r="J37" s="4" t="inlineStr">
        <is>
          <t>Examine a linha 24: o nome do comando que você utilizou para exibir o resultado é reconhecido pelo Python?</t>
        </is>
      </c>
      <c r="K37" s="5" t="inlineStr">
        <is>
          <t>Execução</t>
        </is>
      </c>
      <c r="L37" s="5" t="n">
        <v>24</v>
      </c>
      <c r="M37" s="5" t="inlineStr">
        <is>
          <t>'prit' em vez de 'print' (linha 24): NameError.</t>
        </is>
      </c>
      <c r="N37" s="3">
        <f>IF(AND(H37&lt;&gt;"",K37&lt;&gt;""),IF(H37=K37,1,0),"")</f>
        <v/>
      </c>
      <c r="O37" s="6" t="n">
        <v>4</v>
      </c>
      <c r="P37" s="6" t="n">
        <v>5</v>
      </c>
      <c r="Q37" s="6" t="n">
        <v>5</v>
      </c>
      <c r="R37" s="6" t="n">
        <v>5</v>
      </c>
      <c r="S37" s="6" t="n">
        <v>3</v>
      </c>
      <c r="T37" s="3" t="n"/>
    </row>
    <row r="38" ht="318.75" customHeight="1" s="1">
      <c r="A38" s="3" t="n">
        <v>1873</v>
      </c>
      <c r="B38" s="3" t="n">
        <v>2</v>
      </c>
      <c r="C38" s="3" t="n">
        <v>3</v>
      </c>
      <c r="D38" s="3" t="inlineStr">
        <is>
          <t>Wrong answer (10%)</t>
        </is>
      </c>
      <c r="E38"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38" s="4">
        <f>FALSE()</f>
        <v/>
      </c>
      <c r="G38" s="4" t="n">
        <v>14</v>
      </c>
      <c r="H38" s="4" t="inlineStr">
        <is>
          <t>Execução</t>
        </is>
      </c>
      <c r="I38" s="4" t="inlineStr">
        <is>
          <t>Seu programa é interrompido por um erro durante a execução ao tentar consultar o dicionário para algumas entradas.</t>
        </is>
      </c>
      <c r="J38" s="4" t="inlineStr">
        <is>
          <t>O que acontece se você simular a chamada `determinar_vencedor('spock', 'tesoura')`? Observe atentamente como as palavras chegam na entrada e como as chaves do dicionário `regras` foram cadastradas.</t>
        </is>
      </c>
      <c r="K38" s="5" t="inlineStr">
        <is>
          <t>Execução</t>
        </is>
      </c>
      <c r="L38" s="5" t="n">
        <v>14</v>
      </c>
      <c r="M38" s="5" t="inlineStr">
        <is>
          <t>Chave 'Spock' (maiúscula) no dicionário não bate com 'spock' da entrada -&gt; KeyError.</t>
        </is>
      </c>
      <c r="N38" s="3">
        <f>IF(AND(H38&lt;&gt;"",K38&lt;&gt;""),IF(H38=K38,1,0),"")</f>
        <v/>
      </c>
      <c r="O38" s="6" t="n">
        <v>5</v>
      </c>
      <c r="P38" s="6" t="n">
        <v>5</v>
      </c>
      <c r="Q38" s="6" t="n">
        <v>5</v>
      </c>
      <c r="R38" s="6" t="n">
        <v>5</v>
      </c>
      <c r="S38" s="6" t="n">
        <v>3</v>
      </c>
      <c r="T38" s="3" t="n"/>
    </row>
    <row r="39" ht="318.75" customHeight="1" s="1">
      <c r="A39" s="3" t="n">
        <v>1873</v>
      </c>
      <c r="B39" s="3" t="n">
        <v>2</v>
      </c>
      <c r="C39" s="3" t="n">
        <v>4</v>
      </c>
      <c r="D39" s="3" t="inlineStr">
        <is>
          <t>Wrong answer (10%)</t>
        </is>
      </c>
      <c r="E39"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is>
      </c>
      <c r="F39" s="4">
        <f>FALSE()</f>
        <v/>
      </c>
      <c r="G39" s="4" t="n">
        <v>8</v>
      </c>
      <c r="H39" s="4" t="inlineStr">
        <is>
          <t>Execução</t>
        </is>
      </c>
      <c r="I39" s="4" t="inlineStr">
        <is>
          <t>Seu código é bem estruturado, mas a execução é interrompida por um erro inesperado em rodadas nas quais um dos jogadores escolhe 'spock'.</t>
        </is>
      </c>
      <c r="J39" s="4" t="inlineStr">
        <is>
          <t>O que acontece no Python quando o seu código executa a função determinar_vencedor('spock', 'tesoura') e tenta acessar a chave 'spock' no dicionário regras?</t>
        </is>
      </c>
      <c r="K39" s="5" t="inlineStr">
        <is>
          <t>Execução</t>
        </is>
      </c>
      <c r="L39" s="5" t="n">
        <v>14</v>
      </c>
      <c r="M39" s="5" t="inlineStr">
        <is>
          <t>Mesmo KeyError de capitalização de 'spock' no dicionário.</t>
        </is>
      </c>
      <c r="N39" s="3">
        <f>IF(AND(H39&lt;&gt;"",K39&lt;&gt;""),IF(H39=K39,1,0),"")</f>
        <v/>
      </c>
      <c r="O39" s="6" t="n">
        <v>5</v>
      </c>
      <c r="P39" s="6" t="n">
        <v>5</v>
      </c>
      <c r="Q39" s="6" t="n">
        <v>5</v>
      </c>
      <c r="R39" s="6" t="n">
        <v>5</v>
      </c>
      <c r="S39" s="6" t="n">
        <v>4</v>
      </c>
      <c r="T39" s="3" t="n"/>
    </row>
    <row r="40" ht="318.75" customHeight="1" s="1">
      <c r="A40" s="3" t="n">
        <v>1873</v>
      </c>
      <c r="B40" s="3" t="n">
        <v>2</v>
      </c>
      <c r="C40" s="3" t="n">
        <v>5</v>
      </c>
      <c r="D40" s="3" t="inlineStr">
        <is>
          <t>Wrong answer (10%)</t>
        </is>
      </c>
      <c r="E40"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0" s="4">
        <f>FALSE()</f>
        <v/>
      </c>
      <c r="G40" s="4" t="n">
        <v>14</v>
      </c>
      <c r="H40" s="4" t="inlineStr">
        <is>
          <t>Execução</t>
        </is>
      </c>
      <c r="I40" s="4" t="inlineStr">
        <is>
          <t>Seu código está bem estruturado, mas a execução interrompe com um erro ao tentar consultar as regras para certas entradas de teste.</t>
        </is>
      </c>
      <c r="J40" s="4" t="inlineStr">
        <is>
          <t>O que acontece ao tentar executar a função `determinar_vencedor('spock', 'tesoura')`? Como o dicionário `regras` reage a essa busca?</t>
        </is>
      </c>
      <c r="K40" s="5" t="inlineStr">
        <is>
          <t>Execução</t>
        </is>
      </c>
      <c r="L40" s="5" t="n">
        <v>14</v>
      </c>
      <c r="M40" s="5" t="inlineStr">
        <is>
          <t>Mesmo KeyError de capitalização de 'spock' no dicionário.</t>
        </is>
      </c>
      <c r="N40" s="3">
        <f>IF(AND(H40&lt;&gt;"",K40&lt;&gt;""),IF(H40=K40,1,0),"")</f>
        <v/>
      </c>
      <c r="O40" s="6" t="n">
        <v>5</v>
      </c>
      <c r="P40" s="6" t="n">
        <v>5</v>
      </c>
      <c r="Q40" s="6" t="n">
        <v>5</v>
      </c>
      <c r="R40" s="6" t="n">
        <v>5</v>
      </c>
      <c r="S40" s="6" t="n">
        <v>4</v>
      </c>
      <c r="T40" s="3" t="n"/>
    </row>
    <row r="41" ht="318.75" customHeight="1" s="1">
      <c r="A41" s="3" t="n">
        <v>1873</v>
      </c>
      <c r="B41" s="3" t="n">
        <v>2</v>
      </c>
      <c r="C41" s="3" t="n">
        <v>6</v>
      </c>
      <c r="D41" s="3" t="inlineStr">
        <is>
          <t>Wrong answer (10%)</t>
        </is>
      </c>
      <c r="E41"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is>
      </c>
      <c r="F41" s="4">
        <f>FALSE()</f>
        <v/>
      </c>
      <c r="G41" s="4" t="n">
        <v>14</v>
      </c>
      <c r="H41" s="4" t="inlineStr">
        <is>
          <t>Execução</t>
        </is>
      </c>
      <c r="I41" s="4" t="inlineStr">
        <is>
          <t>Ao processar determinadas jogadas, o seu programa interrompe a execução com um erro de chave (KeyError) antes de conseguir responder.</t>
        </is>
      </c>
      <c r="J41" s="4" t="inlineStr">
        <is>
          <t>O que acontece ao rodar seu programa com a entrada 'spock tesoura'? Acompanhe o valor da variável 'escolha_raj' após a chamada de .lower() e verifique como ela é utilizada na linha 14 para consultar o dicionário 'regras'.</t>
        </is>
      </c>
      <c r="K41" s="5" t="inlineStr">
        <is>
          <t>Execução</t>
        </is>
      </c>
      <c r="L41" s="5" t="n">
        <v>14</v>
      </c>
      <c r="M41" s="5" t="inlineStr">
        <is>
          <t>Mesmo KeyError de capitalização de 'spock' no dicionário.</t>
        </is>
      </c>
      <c r="N41" s="3">
        <f>IF(AND(H41&lt;&gt;"",K41&lt;&gt;""),IF(H41=K41,1,0),"")</f>
        <v/>
      </c>
      <c r="O41" s="6" t="n">
        <v>5</v>
      </c>
      <c r="P41" s="6" t="n">
        <v>5</v>
      </c>
      <c r="Q41" s="6" t="n">
        <v>5</v>
      </c>
      <c r="R41" s="6" t="n">
        <v>5</v>
      </c>
      <c r="S41" s="6" t="n">
        <v>3</v>
      </c>
      <c r="T41" s="3" t="inlineStr">
        <is>
          <t>[RASCUNHO/juiz] Simulação socrática bem detalhada.</t>
        </is>
      </c>
    </row>
    <row r="42" ht="318.75" customHeight="1" s="1">
      <c r="A42" s="3" t="n">
        <v>1873</v>
      </c>
      <c r="B42" s="3" t="n">
        <v>2</v>
      </c>
      <c r="C42" s="3" t="n">
        <v>7</v>
      </c>
      <c r="D42" s="3" t="inlineStr">
        <is>
          <t>Wrong answer (10%)</t>
        </is>
      </c>
      <c r="E42"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2" s="4">
        <f>FALSE()</f>
        <v/>
      </c>
      <c r="G42" s="4" t="n">
        <v>15</v>
      </c>
      <c r="H42" s="4" t="inlineStr">
        <is>
          <t>Execução</t>
        </is>
      </c>
      <c r="I42" s="4" t="inlineStr">
        <is>
          <t>O seu código interrompe a execução com um erro de chave (KeyError) ao tentar consultar o dicionário 'regras' para determinadas entradas.</t>
        </is>
      </c>
      <c r="J42" s="4" t="inlineStr">
        <is>
          <t>O que acontece ao executar a função 'determinar_vencedor' passando 'spock' (em minúsculo) como primeiro argumento, considerando a forma como as chaves do dicionário 'regras' foram escritas?</t>
        </is>
      </c>
      <c r="K42" s="5" t="inlineStr">
        <is>
          <t>Execução</t>
        </is>
      </c>
      <c r="L42" s="5" t="n">
        <v>14</v>
      </c>
      <c r="M42" s="5" t="inlineStr">
        <is>
          <t>Mesmo KeyError de capitalização de 'spock' no dicionário.</t>
        </is>
      </c>
      <c r="N42" s="3">
        <f>IF(AND(H42&lt;&gt;"",K42&lt;&gt;""),IF(H42=K42,1,0),"")</f>
        <v/>
      </c>
      <c r="O42" s="6" t="n">
        <v>5</v>
      </c>
      <c r="P42" s="6" t="n">
        <v>5</v>
      </c>
      <c r="Q42" s="6" t="n">
        <v>5</v>
      </c>
      <c r="R42" s="6" t="n">
        <v>5</v>
      </c>
      <c r="S42" s="6" t="n">
        <v>3</v>
      </c>
      <c r="T42" s="3" t="inlineStr">
        <is>
          <t>[RASCUNHO] Casos 3-7 (aluno 2): mesma causa raiz persistindo -- bom exemplo para checar se o Gemini identifica o erro repetido de forma consistente. [RASCUNHO] Casos 3-7 (aluno 2): mesma causa raiz persistindo -- bom exemplo para checar se o Gemini identifica o erro repetido de forma consistente.</t>
        </is>
      </c>
    </row>
    <row r="43" ht="318.75" customHeight="1" s="1">
      <c r="A43" s="3" t="n">
        <v>1873</v>
      </c>
      <c r="B43" s="3" t="n">
        <v>2</v>
      </c>
      <c r="C43" s="3" t="n">
        <v>8</v>
      </c>
      <c r="D43" s="3" t="inlineStr">
        <is>
          <t>Accepted</t>
        </is>
      </c>
      <c r="E43" s="3"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3" s="4">
        <f>FALSE()</f>
        <v/>
      </c>
      <c r="G43" s="4" t="n">
        <v>8</v>
      </c>
      <c r="H43" s="4" t="inlineStr">
        <is>
          <t>Execução</t>
        </is>
      </c>
      <c r="I43" s="4" t="inlineStr">
        <is>
          <t>Seu código possui uma estrutura lógica muito boa, mas interrompe a execução com um erro ao tentar consultar as regras para uma das jogadas específicas.</t>
        </is>
      </c>
      <c r="J43" s="4" t="inlineStr">
        <is>
          <t>O que acontece ao rodar seu código com a entrada 'spock tesoura'? Verifique atentamente como o nome de cada jogada foi escrito nas chaves do dicionário 'regras'.</t>
        </is>
      </c>
      <c r="K43" s="5" t="inlineStr">
        <is>
          <t>Execução</t>
        </is>
      </c>
      <c r="L43" s="5" t="n">
        <v>14</v>
      </c>
      <c r="M43" s="5" t="inlineStr">
        <is>
          <t>Chave 'Spock' (maiúscula, linha 8) não bate com 'spock' da entrada -&gt; KeyError. BeeCrowd deu Accepted mas o código quebra: bug real não coberto pelo juiz.</t>
        </is>
      </c>
      <c r="N43" s="3">
        <f>IF(AND(H43&lt;&gt;"",K43&lt;&gt;""),IF(H43=K43,1,0),"")</f>
        <v/>
      </c>
      <c r="O43" s="6" t="n">
        <v>5</v>
      </c>
      <c r="P43" s="6" t="n">
        <v>5</v>
      </c>
      <c r="Q43" s="6" t="n">
        <v>5</v>
      </c>
      <c r="R43" s="6" t="n">
        <v>5</v>
      </c>
      <c r="S43" s="6" t="n">
        <v>4</v>
      </c>
      <c r="T43" s="3" t="inlineStr">
        <is>
          <t>VERDADEIRO POSITIVO confirmado pelos casos de teste: BeeCrowd deu Accepted, mas o código quebra com 'spock' minúsculo (KeyError). Gemini acertou onde o juiz falhou.</t>
        </is>
      </c>
    </row>
    <row r="44" ht="242.25" customHeight="1" s="1">
      <c r="A44" s="3" t="n">
        <v>1873</v>
      </c>
      <c r="B44" s="3" t="n">
        <v>3</v>
      </c>
      <c r="C44" s="3" t="n">
        <v>1</v>
      </c>
      <c r="D44" s="3" t="inlineStr">
        <is>
          <t>Accepted</t>
        </is>
      </c>
      <c r="E44" s="3" t="inlineStr">
        <is>
          <t>def vence(rajesh, sheldon):
    regras = {
        'tesoura': ['papel', 'lagarto'],
        'papel': ['pedra', 'spock'],
        'pedra': ['lagarto', 'tesoura'],
        'lagarto': ['spock', 'papel'],
        'spock': ['tesoura', 'pedra']
    }
    if rajesh == sheldon:
        return "empate"
    elif sheldon in regras[rajesh]:
        return "rajesh"
    else:
        return "sheldon"
C = int(input())
for _ in range(C):
    rajesh, sheldon = input().split()
    resultado = vence(rajesh, sheldon)
    print(resultado)</t>
        </is>
      </c>
      <c r="F44" s="4">
        <f>TRUE()</f>
        <v/>
      </c>
      <c r="G44" s="4" t="inlineStr">
        <is>
          <t>-</t>
        </is>
      </c>
      <c r="H44" s="4" t="inlineStr">
        <is>
          <t>Nenhum (código correto)</t>
        </is>
      </c>
      <c r="I44" s="4" t="inlineStr">
        <is>
          <t>Excelente trabalho! Sua lógica utilizando um dicionário para mapear as vitórias ficou muito limpa e eficiente, passando em todos os testes.</t>
        </is>
      </c>
      <c r="J44" s="4" t="inlineStr">
        <is>
          <t>Como desafio adicional de boas práticas: percebeu que o dicionário `regras` é recriado a cada chamada da função? Como você moveria esse dicionário para fora da função para evitar recriá-lo várias vezes?</t>
        </is>
      </c>
      <c r="K44" s="5" t="inlineStr">
        <is>
          <t>Nenhum (código correto)</t>
        </is>
      </c>
      <c r="L44" s="5" t="n"/>
      <c r="M44" s="5" t="inlineStr">
        <is>
          <t>Passou 4/4 casos de teste.</t>
        </is>
      </c>
      <c r="N44" s="3">
        <f>IF(AND(H44&lt;&gt;"",K44&lt;&gt;""),IF(H44=K44,1,0),"")</f>
        <v/>
      </c>
      <c r="O44" s="6" t="n">
        <v>5</v>
      </c>
      <c r="P44" s="6" t="n">
        <v>5</v>
      </c>
      <c r="Q44" s="6" t="n">
        <v>4</v>
      </c>
      <c r="R44" s="6" t="n">
        <v>5</v>
      </c>
      <c r="S44" s="6" t="n">
        <v>5</v>
      </c>
      <c r="T44" s="3" t="inlineStr">
        <is>
          <t>Código correto.</t>
        </is>
      </c>
    </row>
    <row r="45" ht="153.75" customHeight="1" s="1">
      <c r="A45" s="8" t="n">
        <v>1132</v>
      </c>
      <c r="B45" t="n">
        <v>901</v>
      </c>
      <c r="C45" s="8" t="n">
        <v>1</v>
      </c>
      <c r="D45" s="8" t="inlineStr">
        <is>
          <t>Wrong answer (100%)</t>
        </is>
      </c>
      <c r="E45" s="9" t="inlineStr">
        <is>
          <t>x = int(input())
y = int(input())
if x &gt; y:
    x, y = y, x
soma = 0
for i in range(x, y + 1):
    if i % 13 == 0:
        soma += i
print(soma)</t>
        </is>
      </c>
      <c r="F45" s="4">
        <f>FALSE()</f>
        <v/>
      </c>
      <c r="G45" s="4" t="n">
        <v>9</v>
      </c>
      <c r="H45" s="4" t="inlineStr">
        <is>
          <t>Lógica</t>
        </is>
      </c>
      <c r="I45" s="4" t="inlineStr">
        <is>
          <t>Seu programa executa sem erros e lida muito bem com a ordenação dos valores de entrada! No entanto, a condição que decide se um número deve ser somado não está selecionando os números corretos requeridos no problema.</t>
        </is>
      </c>
      <c r="J45" s="4" t="inlineStr">
        <is>
          <t>Se você executar seu código para as entradas X = 1 e Y = 12, quais números satisfazem a condição 'if i % 13 == 0' e acabam sendo somados?</t>
        </is>
      </c>
      <c r="K45" s="5" t="inlineStr">
        <is>
          <t>Lógica</t>
        </is>
      </c>
      <c r="L45" s="5" t="n">
        <v>9</v>
      </c>
      <c r="M45" s="5" t="inlineStr">
        <is>
          <t>Condição invertida ('% 13 == 0'): soma justamente os múltiplos de 13.</t>
        </is>
      </c>
      <c r="N45" s="3">
        <f>IF(AND(H45&lt;&gt;"",K45&lt;&gt;""),IF(H45=K45,1,0),"")</f>
        <v/>
      </c>
      <c r="O45" s="6" t="n">
        <v>4</v>
      </c>
      <c r="P45" s="6" t="n">
        <v>5</v>
      </c>
      <c r="Q45" s="6" t="n">
        <v>5</v>
      </c>
      <c r="R45" s="6" t="n">
        <v>5</v>
      </c>
      <c r="S45" s="6" t="n">
        <v>4</v>
      </c>
      <c r="T45" t="inlineStr">
        <is>
          <t>[RASCUNHO] Caso Sintético (Caso 44)</t>
        </is>
      </c>
    </row>
    <row r="46" ht="153.75" customHeight="1" s="1">
      <c r="A46" s="8" t="n">
        <v>1132</v>
      </c>
      <c r="B46" s="8" t="n">
        <v>902</v>
      </c>
      <c r="C46" s="8" t="n">
        <v>1</v>
      </c>
      <c r="D46" s="10" t="inlineStr">
        <is>
          <t>Syntax error</t>
        </is>
      </c>
      <c r="E46" s="9" t="inlineStr">
        <is>
          <t>x = int(input())
y = int(input())
if x &gt; y
    x, y = y, x
soma = 0
for i in range(x, y + 1):
    if i % 13 != 0:
        soma += i
print(soma)</t>
        </is>
      </c>
      <c r="F46" s="4">
        <f>FALSE()</f>
        <v/>
      </c>
      <c r="G46" s="4" t="n">
        <v>4</v>
      </c>
      <c r="H46" s="4" t="inlineStr">
        <is>
          <t>Sintaxe</t>
        </is>
      </c>
      <c r="I46" s="4" t="inlineStr">
        <is>
          <t>O interpretador Python não conseguiu iniciar a execução do seu programa devido a uma falha na estrutura sintática de uma condição.</t>
        </is>
      </c>
      <c r="J46" s="4" t="inlineStr">
        <is>
          <t>Observe com atenção a linha 4 e compare a estrutura dela com a instrução 'if' que você escreveu na linha 9. O que está presente na linha 9 ao final da condição que não foi colocado na linha 4?</t>
        </is>
      </c>
      <c r="K46" s="5" t="inlineStr">
        <is>
          <t>Sintaxe</t>
        </is>
      </c>
      <c r="L46" s="5" t="n">
        <v>4</v>
      </c>
      <c r="M46" s="5" t="inlineStr">
        <is>
          <t>Falta ':' no final da condição (linha 4).</t>
        </is>
      </c>
      <c r="N46" s="3">
        <f>IF(AND(H46&lt;&gt;"",K46&lt;&gt;""),IF(H46=K46,1,0),"")</f>
        <v/>
      </c>
      <c r="O46" s="6" t="n">
        <v>4</v>
      </c>
      <c r="P46" s="6" t="n">
        <v>5</v>
      </c>
      <c r="Q46" s="6" t="n">
        <v>5</v>
      </c>
      <c r="R46" s="6" t="n">
        <v>5</v>
      </c>
      <c r="S46" s="6" t="n">
        <v>3</v>
      </c>
      <c r="T46" t="inlineStr">
        <is>
          <t>[RASCUNHO] Caso Sintético (Caso 45)</t>
        </is>
      </c>
    </row>
    <row r="47" ht="105" customHeight="1" s="1">
      <c r="A47" s="8" t="n">
        <v>1153</v>
      </c>
      <c r="B47" s="8" t="n">
        <v>903</v>
      </c>
      <c r="C47" s="8" t="n">
        <v>1</v>
      </c>
      <c r="D47" s="10" t="inlineStr">
        <is>
          <t>Wrong answer (100%)</t>
        </is>
      </c>
      <c r="E47" s="11" t="inlineStr">
        <is>
          <t>n = int(input())
fatorial = 0
for i in range(1, n + 1):
    fatorial *= i
print(fatorial)</t>
        </is>
      </c>
      <c r="F47" s="4">
        <f>FALSE()</f>
        <v/>
      </c>
      <c r="G47" s="4" t="n">
        <v>2</v>
      </c>
      <c r="H47" s="4" t="inlineStr">
        <is>
          <t>Lógica</t>
        </is>
      </c>
      <c r="I47" s="4" t="inlineStr">
        <is>
          <t>Seu código executa perfeitamente sem erros de sintaxe, mas o valor exibido ao final não está correto.</t>
        </is>
      </c>
      <c r="J47" s="4" t="inlineStr">
        <is>
          <t>Tente fazer o teste de mesa no papel para a entrada 4: qual é o valor da variável 'fatorial' logo antes do laço e qual valor ela assume após a primeira iteração (quando i = 1)?</t>
        </is>
      </c>
      <c r="K47" s="5" t="inlineStr">
        <is>
          <t>Lógica</t>
        </is>
      </c>
      <c r="L47" s="5" t="n">
        <v>2</v>
      </c>
      <c r="M47" s="5" t="inlineStr">
        <is>
          <t>'fatorial' inicializado como 0: multiplicação zera tudo, resultado sempre 0.</t>
        </is>
      </c>
      <c r="N47" s="3">
        <f>IF(AND(H47&lt;&gt;"",K47&lt;&gt;""),IF(H47=K47,1,0),"")</f>
        <v/>
      </c>
      <c r="O47" s="6" t="n">
        <v>5</v>
      </c>
      <c r="P47" s="6" t="n">
        <v>5</v>
      </c>
      <c r="Q47" s="6" t="n">
        <v>5</v>
      </c>
      <c r="R47" s="6" t="n">
        <v>5</v>
      </c>
      <c r="S47" s="6" t="n">
        <v>3</v>
      </c>
      <c r="T47" t="inlineStr">
        <is>
          <t>[RASCUNHO] Caso Sintético (Caso 46)</t>
        </is>
      </c>
    </row>
    <row r="48" ht="105" customHeight="1" s="1">
      <c r="A48" s="8" t="n">
        <v>1153</v>
      </c>
      <c r="B48" s="8" t="n">
        <v>904</v>
      </c>
      <c r="C48" s="8" t="n">
        <v>1</v>
      </c>
      <c r="D48" s="10" t="inlineStr">
        <is>
          <t>Wrong answer (100%)</t>
        </is>
      </c>
      <c r="E48" s="11" t="inlineStr">
        <is>
          <t>n = int(input())
fat = 1
for i in range(1, n):
    fat *= i
print(fat)</t>
        </is>
      </c>
      <c r="F48" s="4">
        <f>FALSE()</f>
        <v/>
      </c>
      <c r="G48" s="4" t="n">
        <v>4</v>
      </c>
      <c r="H48" s="4" t="inlineStr">
        <is>
          <t>Lógica</t>
        </is>
      </c>
      <c r="I48" s="4" t="inlineStr">
        <is>
          <t>Seu código executa perfeitamente sem erros de sintaxe, porém o cálculo do fatorial não está considerando todos os fatores necessários para chegar ao resultado correto.</t>
        </is>
      </c>
      <c r="J48" s="4" t="inlineStr">
        <is>
          <t>Simule o seu código no papel para a entrada `n = 4`: quais são todos os valores que a variável `i` assume dentro da repetição?</t>
        </is>
      </c>
      <c r="K48" s="5" t="inlineStr">
        <is>
          <t>Lógica</t>
        </is>
      </c>
      <c r="L48" s="5" t="n">
        <v>4</v>
      </c>
      <c r="M48" s="5" t="inlineStr">
        <is>
          <t>range do fatorial não cobre todos os fatores: resultado menor que o correto.</t>
        </is>
      </c>
      <c r="N48" s="3">
        <f>IF(AND(H48&lt;&gt;"",K48&lt;&gt;""),IF(H48=K48,1,0),"")</f>
        <v/>
      </c>
      <c r="O48" s="6" t="n">
        <v>5</v>
      </c>
      <c r="P48" s="6" t="n">
        <v>5</v>
      </c>
      <c r="Q48" s="6" t="n">
        <v>5</v>
      </c>
      <c r="R48" s="6" t="n">
        <v>5</v>
      </c>
      <c r="S48" s="6" t="n">
        <v>3</v>
      </c>
      <c r="T48" t="inlineStr">
        <is>
          <t>[RASCUNHO] Caso Sintético (Caso 47)</t>
        </is>
      </c>
    </row>
    <row r="49" ht="300" customHeight="1" s="1">
      <c r="A49" s="8" t="n">
        <v>1828</v>
      </c>
      <c r="B49" s="8" t="n">
        <v>905</v>
      </c>
      <c r="C49" s="8" t="n">
        <v>1</v>
      </c>
      <c r="D49" s="10" t="inlineStr">
        <is>
          <t>Presentation Error</t>
        </is>
      </c>
      <c r="E49" s="11" t="inlineStr">
        <is>
          <t>n = int(input())
for i in range(1, n + 1):
    sheldon, raj = input().split()
    if sheldon == raj:
        print(f"Caso {i}: De novo!")
    elif (sheldon == "tesoura" and raj == "papel") or \
         (sheldon == "papel" and raj == "pedra") or \
         (sheldon == "pedra" and raj == "lagarto") or \
         (sheldon == "lagarto" and raj == "Spock") or \
         (sheldon == "Spock" and raj == "tesoura") or \
         (sheldon == "tesoura" and raj == "lagarto") or \
         (sheldon == "lagarto" and raj == "papel") or \
         (sheldon == "papel" and raj == "Spock") or \
         (sheldon == "Spock" and raj == "pedra") or \
         (sheldon == "pedra" and raj == "tesoura"):
        print(f"Caso {i}: Bazinga!")
    else:
        print(f"Caso {i}: Raj trapaceou!")</t>
        </is>
      </c>
      <c r="F49" s="4">
        <f>FALSE()</f>
        <v/>
      </c>
      <c r="G49" s="4" t="n">
        <v>7</v>
      </c>
      <c r="H49" s="4" t="inlineStr">
        <is>
          <t>Lógica</t>
        </is>
      </c>
      <c r="I49" s="4" t="inlineStr">
        <is>
          <t>Sua lógica para verificar quem ganha ou empata a partida está excelente e cobriu todas as regras do jogo! No entanto, o sistema automático rejeitou a resposta por conta da formatação exata da mensagem gerada.</t>
        </is>
      </c>
      <c r="J49" s="4" t="inlineStr">
        <is>
          <t>Observe atentamente a mensagem de saída exigida no enunciado e compare com o texto que seu programa imprime dentro do `print`. O que deve aparecer logo antes do número do caso?</t>
        </is>
      </c>
      <c r="K49" s="5" t="inlineStr">
        <is>
          <t>Lógica</t>
        </is>
      </c>
      <c r="L49" s="5" t="n">
        <v>7</v>
      </c>
      <c r="M49" s="5" t="inlineStr">
        <is>
          <t>Formato de saída: imprime 'Caso 1:' em vez de 'Caso #1:' (falta o '#').</t>
        </is>
      </c>
      <c r="N49" s="3">
        <f>IF(AND(H49&lt;&gt;"",K49&lt;&gt;""),IF(H49=K49,1,0),"")</f>
        <v/>
      </c>
      <c r="O49" s="6" t="n">
        <v>4</v>
      </c>
      <c r="P49" s="6" t="n">
        <v>5</v>
      </c>
      <c r="Q49" s="6" t="n">
        <v>4</v>
      </c>
      <c r="R49" s="6" t="n">
        <v>5</v>
      </c>
      <c r="S49" s="6" t="n">
        <v>4</v>
      </c>
      <c r="T49" t="inlineStr">
        <is>
          <t>Melhorou vs rodada anterior: não vaza mais o formato literal 'Caso #1:'; agora só pergunta o que falta antes do número.</t>
        </is>
      </c>
    </row>
    <row r="50" ht="285" customHeight="1" s="1">
      <c r="A50" s="8" t="n">
        <v>1828</v>
      </c>
      <c r="B50" s="8" t="n">
        <v>906</v>
      </c>
      <c r="C50" s="8" t="n">
        <v>1</v>
      </c>
      <c r="D50" s="10" t="inlineStr">
        <is>
          <t>Runtime error</t>
        </is>
      </c>
      <c r="E50" s="11" t="inlineStr">
        <is>
          <t>t = int(input())
for i in range(1, t + 1):
    jogadas = input().split(",")
    s = jogadas[0]
    r = jogadas[1]
    if s == r:
        print(f"Caso #{i}: De novo!")
    elif (s == "tesoura" and r == "papel") or (s == "papel" and r == "pedra") or (s == "pedra" and r == "lagarto") or (s == "lagarto" and r == "Spock") or (s == "Spock" and r == "tesoura") or (s == "tesoura" and r == "lagarto") or (s == "lagarto" and r == "papel") or (s == "papel" and r == "Spock") or (s == "Spock" and r == "pedra") or (s == "pedra" and r == "tesoura"):
        print(f"Caso #{i}: Bazinga!")
    else:
        print(f"Caso #{i}: Raj trapaceou!")</t>
        </is>
      </c>
      <c r="F50" s="4">
        <f>FALSE()</f>
        <v/>
      </c>
      <c r="G50" s="4" t="n">
        <v>6</v>
      </c>
      <c r="H50" s="4" t="inlineStr">
        <is>
          <t>Execução</t>
        </is>
      </c>
      <c r="I50" s="4" t="inlineStr">
        <is>
          <t>Seu código interrompe a execução com uma mensagem de erro logo no início da leitura dos casos de teste.</t>
        </is>
      </c>
      <c r="J50" s="4" t="inlineStr">
        <is>
          <t>Se você executar a instrução `'tesoura papel'.split(',')` no Python, qual lista é gerada e quantos elementos ela possui?</t>
        </is>
      </c>
      <c r="K50" s="5" t="inlineStr">
        <is>
          <t>Execução</t>
        </is>
      </c>
      <c r="L50" s="5" t="n">
        <v>6</v>
      </c>
      <c r="M50" s="5" t="inlineStr">
        <is>
          <t>split(',') com entrada separada por espaço: lista com 1 elemento -&gt; IndexError.</t>
        </is>
      </c>
      <c r="N50" s="3">
        <f>IF(AND(H50&lt;&gt;"",K50&lt;&gt;""),IF(H50=K50,1,0),"")</f>
        <v/>
      </c>
      <c r="O50" s="6" t="n">
        <v>3</v>
      </c>
      <c r="P50" s="6" t="n">
        <v>5</v>
      </c>
      <c r="Q50" s="6" t="n">
        <v>4</v>
      </c>
      <c r="R50" s="6" t="n">
        <v>5</v>
      </c>
      <c r="S50" s="6" t="n">
        <v>3</v>
      </c>
      <c r="T50" t="inlineStr">
        <is>
          <t>Dica beira revelar: aponta split(',') vs espaço de forma quase explícita.</t>
        </is>
      </c>
    </row>
    <row r="51" ht="300" customHeight="1" s="1">
      <c r="A51" s="8" t="n">
        <v>1873</v>
      </c>
      <c r="B51" s="8" t="n">
        <v>907</v>
      </c>
      <c r="C51" s="8" t="n">
        <v>1</v>
      </c>
      <c r="D51" s="10" t="inlineStr">
        <is>
          <t>Wrong answer(100%)</t>
        </is>
      </c>
      <c r="E51" s="11" t="inlineStr">
        <is>
          <t>c = int(input())
for _ in range(c):
    rajesh, sheldon = input().split()
    if rajesh == sheldon:
        print("empate")
    elif (rajesh == "tesoura" and sheldon == "papel") or \
         (rajesh == "papel" and sheldon == "pedra") or \
         (rajesh == "pedra" and sheldon == "lagarto") or \
         (rajesh == "lagarto" and sheldon == "Spock") or \
         (rajesh == "Spock" and sheldon == "tesoura") or \
         (rajesh == "tesoura" and sheldon == "lagarto") or \
         (rajesh == "lagarto" and sheldon == "papel") or \
         (rajesh == "papel" and sheldon == "Spock") or \
         (rajesh == "Spock" and sheldon == "pedra") or \
         (rajesh == "pedra" and sheldon == "tesoura"):
        print("Rajesh")
    else:
        print("Sheldon")</t>
        </is>
      </c>
      <c r="F51" s="4">
        <f>FALSE()</f>
        <v/>
      </c>
      <c r="G51" s="4" t="n">
        <v>18</v>
      </c>
      <c r="H51" s="4" t="inlineStr">
        <is>
          <t>Lógica</t>
        </is>
      </c>
      <c r="I51" s="4" t="inlineStr">
        <is>
          <t>Seu código está muito bem estruturado e a lógica do jogo está quase perfeita! No entanto, pequenos detalhes na formatação do texto exibido podem fazer com que o sistema não reconheça a resposta.</t>
        </is>
      </c>
      <c r="J51" s="4" t="inlineStr">
        <is>
          <t>Ao executar o seu programa com a entrada 'pedra tesoura', observe atentamente a palavra exata que o seu 'print' exibe na tela. O enunciado do problema pede o nome em maiúsculas ou minúsculas?</t>
        </is>
      </c>
      <c r="K51" s="5" t="inlineStr">
        <is>
          <t>Lógica</t>
        </is>
      </c>
      <c r="L51" s="5" t="n">
        <v>19</v>
      </c>
      <c r="M51" s="5" t="inlineStr">
        <is>
          <t>Formato de saída: nomes com inicial maiúscula ('Rajesh'/'Sheldon') em vez de minúscula.</t>
        </is>
      </c>
      <c r="N51" s="3">
        <f>IF(AND(H51&lt;&gt;"",K51&lt;&gt;""),IF(H51=K51,1,0),"")</f>
        <v/>
      </c>
      <c r="O51" s="6" t="n">
        <v>4</v>
      </c>
      <c r="P51" s="6" t="n">
        <v>5</v>
      </c>
      <c r="Q51" s="6" t="n">
        <v>4</v>
      </c>
      <c r="R51" s="6" t="n">
        <v>4</v>
      </c>
      <c r="S51" s="6" t="n">
        <v>4</v>
      </c>
      <c r="T51" t="inlineStr">
        <is>
          <t>[RASCUNHO] Caso Sintético (Caso 50) - Pode ser classificado também como erro de lógica/regras pelo LLM. | [RASCUNHO/juiz] BUG DE PROMPT: a dica vazou o placeholder literal ' [Descrição do Problema] ' na saída ao aluno.</t>
        </is>
      </c>
    </row>
    <row r="52" ht="15" customHeight="1" s="1">
      <c r="O52" s="6" t="n"/>
      <c r="P52" s="6" t="n"/>
      <c r="Q52" s="6" t="n"/>
      <c r="R52" s="6" t="n"/>
      <c r="S52" s="6" t="n"/>
    </row>
  </sheetData>
  <dataValidations count="3">
    <dataValidation sqref="O2:S52" showDropDown="0" showInputMessage="0" showErrorMessage="0" allowBlank="1" error="Use uma nota inteira de 1 a 5" type="whole">
      <formula1>1</formula1>
      <formula2>5</formula2>
    </dataValidation>
    <dataValidation sqref="K2:K51 L44:M51" showDropDown="0" showInputMessage="0" showErrorMessage="0" allowBlank="1" type="list">
      <formula1>"Sintaxe,Execução,Lógica,Nenhum (código correto)"</formula1>
      <formula2>0</formula2>
    </dataValidation>
    <dataValidation sqref="F2:F51" showDropDown="0" showInputMessage="0" showErrorMessage="0" allowBlank="1" type="list">
      <formula1>"TRUE,FALSE"</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T51"/>
  <sheetViews>
    <sheetView tabSelected="1"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outlineLevelCol="0"/>
  <cols>
    <col width="10" customWidth="1" style="1" min="1" max="1"/>
    <col width="8" customWidth="1" style="1" min="2" max="3"/>
    <col width="20" customWidth="1" style="1" min="4" max="4"/>
    <col width="55" customWidth="1" style="1" min="5" max="5"/>
    <col width="14" customWidth="1" style="1" min="6" max="8"/>
    <col width="40" customWidth="1" style="1" min="9" max="10"/>
    <col width="14" customWidth="1" style="1" min="11" max="12"/>
    <col width="35" customWidth="1" style="1" min="13" max="13"/>
    <col width="16" customWidth="1" style="1" min="14" max="17"/>
    <col width="12" customWidth="1" style="1" min="18" max="18"/>
    <col width="16" customWidth="1" style="1" min="19" max="19"/>
    <col width="35" customWidth="1" style="1" min="20" max="20"/>
  </cols>
  <sheetData>
    <row r="1" ht="30" customHeight="1" s="1">
      <c r="A1" s="18" t="inlineStr">
        <is>
          <t>Problem</t>
        </is>
      </c>
      <c r="B1" s="18" t="inlineStr">
        <is>
          <t>Student</t>
        </is>
      </c>
      <c r="C1" s="18" t="inlineStr">
        <is>
          <t>Attempt</t>
        </is>
      </c>
      <c r="D1" s="18" t="inlineStr">
        <is>
          <t>Status_Original</t>
        </is>
      </c>
      <c r="E1" s="18" t="inlineStr">
        <is>
          <t>Codigo_Aluno</t>
        </is>
      </c>
      <c r="F1" s="18" t="inlineStr">
        <is>
          <t>Local_is_correct</t>
        </is>
      </c>
      <c r="G1" s="18" t="inlineStr">
        <is>
          <t>Local_linha_erro</t>
        </is>
      </c>
      <c r="H1" s="18" t="inlineStr">
        <is>
          <t>Local_tipo_erro</t>
        </is>
      </c>
      <c r="I1" s="18" t="inlineStr">
        <is>
          <t>Local_feedback_formativo</t>
        </is>
      </c>
      <c r="J1" s="18" t="inlineStr">
        <is>
          <t>Local_dica_acao</t>
        </is>
      </c>
      <c r="K1" s="18" t="inlineStr">
        <is>
          <t>Gold_tipo_erro</t>
        </is>
      </c>
      <c r="L1" s="18" t="inlineStr">
        <is>
          <t>Gold_linha_erro</t>
        </is>
      </c>
      <c r="M1" s="18" t="inlineStr">
        <is>
          <t>Gold_descricao_correcao</t>
        </is>
      </c>
      <c r="N1" s="18" t="inlineStr">
        <is>
          <t>Diagnostico_Correto</t>
        </is>
      </c>
      <c r="O1" s="18" t="inlineStr">
        <is>
          <t>Nao_Revela_Solucao_1a5</t>
        </is>
      </c>
      <c r="P1" s="18" t="inlineStr">
        <is>
          <t>Foco_Unico_Erro_1a5</t>
        </is>
      </c>
      <c r="Q1" s="18" t="inlineStr">
        <is>
          <t>Qualidade_Socratica_1a5</t>
        </is>
      </c>
      <c r="R1" s="18" t="inlineStr">
        <is>
          <t>Clareza_1a5</t>
        </is>
      </c>
      <c r="S1" s="18" t="inlineStr">
        <is>
          <t>Tom_Motivacional_1a5</t>
        </is>
      </c>
      <c r="T1" s="18" t="inlineStr">
        <is>
          <t>Comentarios</t>
        </is>
      </c>
    </row>
    <row r="2" ht="114.75" customHeight="1" s="1">
      <c r="A2" s="26" t="n">
        <v>1132</v>
      </c>
      <c r="B2" s="26" t="n">
        <v>1</v>
      </c>
      <c r="C2" s="26" t="n">
        <v>1</v>
      </c>
      <c r="D2" s="26" t="inlineStr">
        <is>
          <t>Runtime error</t>
        </is>
      </c>
      <c r="E2" s="27" t="inlineStr">
        <is>
          <t>#include &lt;stdio.h&gt;
X, Y = map(int, input().split())
soma = 0
for c in range(X, Y)
    if c % 13 != 0:
        soma += c
print(soma)</t>
        </is>
      </c>
      <c r="F2" s="28" t="b">
        <v>0</v>
      </c>
      <c r="G2" s="28" t="n">
        <v>5</v>
      </c>
      <c r="H2" s="28" t="inlineStr">
        <is>
          <t>Lógica</t>
        </is>
      </c>
      <c r="I2" s="28" t="inlineStr">
        <is>
          <t>Seu código não considera que X pode ser maior que Y. Isso afeta a construção do intervalo.</t>
        </is>
      </c>
      <c r="J2" s="28" t="inlineStr">
        <is>
          <t>Simule seu código no papel com os valores X=200 e Y=100. O que o range(X, Y) produz? Será que ele itera corretamente?</t>
        </is>
      </c>
      <c r="K2" s="29" t="inlineStr">
        <is>
          <t>Sintaxe</t>
        </is>
      </c>
      <c r="L2" s="29" t="n">
        <v>6</v>
      </c>
      <c r="M2" s="29" t="inlineStr">
        <is>
          <t>Falta ':' no final do for (linha 6).</t>
        </is>
      </c>
      <c r="N2" s="26">
        <f>IF(AND(H2&lt;&gt;"",K2&lt;&gt;""),IF(H2=K2,1,0),"")</f>
        <v/>
      </c>
      <c r="O2" s="30" t="n"/>
      <c r="P2" s="30" t="n"/>
      <c r="Q2" s="30" t="n"/>
      <c r="R2" s="30" t="n"/>
      <c r="S2" s="30" t="n"/>
      <c r="T2" s="26" t="n"/>
    </row>
    <row r="3" ht="114.75" customHeight="1" s="1">
      <c r="A3" s="26" t="n">
        <v>1132</v>
      </c>
      <c r="B3" s="26" t="n">
        <v>1</v>
      </c>
      <c r="C3" s="26" t="n">
        <v>2</v>
      </c>
      <c r="D3" s="26" t="inlineStr">
        <is>
          <t>Runtime error</t>
        </is>
      </c>
      <c r="E3" s="27" t="inlineStr">
        <is>
          <t>#include &lt;stdio.h&gt;
X, Y = map(int, input().split())
soma = 0
for c in range(X, Y + 1)
    if c % 13 != 0:
        soma += c
print(soma)</t>
        </is>
      </c>
      <c r="F3" s="28" t="b">
        <v>0</v>
      </c>
      <c r="G3" s="28" t="n">
        <v>5</v>
      </c>
      <c r="H3" s="28" t="inlineStr">
        <is>
          <t>Sintaxe</t>
        </is>
      </c>
      <c r="I3" s="28" t="inlineStr">
        <is>
          <t>Seu código tem um erro de sintaxe. Preste atenção na estrutura do laço for.</t>
        </is>
      </c>
      <c r="J3" s="28" t="inlineStr">
        <is>
          <t>Simule seu código no papel com a entrada X=10 e Y=15. O que acontece quando você tenta executar o laço? Você esqueceu algum caractere importante após a linha 'for c in range(X, Y + 1)'?</t>
        </is>
      </c>
      <c r="K3" s="29" t="inlineStr">
        <is>
          <t>Sintaxe</t>
        </is>
      </c>
      <c r="L3" s="29" t="n">
        <v>6</v>
      </c>
      <c r="M3" s="29" t="inlineStr">
        <is>
          <t>Falta ':' no final do for (linha 6).</t>
        </is>
      </c>
      <c r="N3" s="26">
        <f>IF(AND(H3&lt;&gt;"",K3&lt;&gt;""),IF(H3=K3,1,0),"")</f>
        <v/>
      </c>
      <c r="O3" s="30" t="n"/>
      <c r="P3" s="30" t="n"/>
      <c r="Q3" s="30" t="n"/>
      <c r="R3" s="30" t="n"/>
      <c r="S3" s="30" t="n"/>
      <c r="T3" s="26" t="n"/>
    </row>
    <row r="4" ht="127.5" customHeight="1" s="1">
      <c r="A4" s="26" t="n">
        <v>1132</v>
      </c>
      <c r="B4" s="26" t="n">
        <v>1</v>
      </c>
      <c r="C4" s="26" t="n">
        <v>3</v>
      </c>
      <c r="D4" s="26" t="inlineStr">
        <is>
          <t>Wrong answer (100%)</t>
        </is>
      </c>
      <c r="E4" s="27" t="inlineStr">
        <is>
          <t>#include &lt;stdio.h&gt;
X = int(input())
Y = int(input())
soma = 0
for c in range(X, Y+1):
  if c % 13 != 0:
    soma += c
print(soma)</t>
        </is>
      </c>
      <c r="F4" s="28" t="b">
        <v>0</v>
      </c>
      <c r="G4" s="28" t="n">
        <v>3</v>
      </c>
      <c r="H4" s="28" t="inlineStr">
        <is>
          <t>Sintaxe</t>
        </is>
      </c>
      <c r="I4" s="28" t="inlineStr">
        <is>
          <t>Seu código tem um erro de sintaxe na leitura da entrada. Tente executar o programa e veja se ele roda corretamente.</t>
        </is>
      </c>
      <c r="J4" s="28" t="inlineStr">
        <is>
          <t>Tente rodar seu código no interpretador do Python. O que acontece quando você digita 'X = int(input())' em uma linha? Será que isso é permitido?</t>
        </is>
      </c>
      <c r="K4" s="29" t="inlineStr">
        <is>
          <t>Lógica</t>
        </is>
      </c>
      <c r="L4" s="29" t="n">
        <v>7</v>
      </c>
      <c r="M4" s="29" t="inlineStr">
        <is>
          <t>Não trata X &gt; Y: para 200/100 imprime 0 em vez de 13954.</t>
        </is>
      </c>
      <c r="N4" s="26">
        <f>IF(AND(H4&lt;&gt;"",K4&lt;&gt;""),IF(H4=K4,1,0),"")</f>
        <v/>
      </c>
      <c r="O4" s="30" t="n"/>
      <c r="P4" s="30" t="n"/>
      <c r="Q4" s="30" t="n"/>
      <c r="R4" s="30" t="n"/>
      <c r="S4" s="30" t="n"/>
      <c r="T4" s="26" t="n"/>
    </row>
    <row r="5" ht="114.75" customHeight="1" s="1">
      <c r="A5" s="26" t="n">
        <v>1132</v>
      </c>
      <c r="B5" s="26" t="n">
        <v>1</v>
      </c>
      <c r="C5" s="26" t="n">
        <v>4</v>
      </c>
      <c r="D5" s="26" t="inlineStr">
        <is>
          <t>Runtime error</t>
        </is>
      </c>
      <c r="E5" s="27" t="inlineStr">
        <is>
          <t>#include &lt;stdio.h&gt;
X, Y= map(int. input())
soma = 0
for c in range(X, Y+1):
    if c % 13 != 0:
        soma += c
print(soma)</t>
        </is>
      </c>
      <c r="F5" s="28" t="b">
        <v>0</v>
      </c>
      <c r="G5" s="28" t="n">
        <v>3</v>
      </c>
      <c r="H5" s="28" t="inlineStr">
        <is>
          <t>Sintaxe</t>
        </is>
      </c>
      <c r="I5" s="28" t="inlineStr">
        <is>
          <t>Há um erro na forma como os valores de entrada são lidos. Preste atenção na sintaxe usada para ler X e Y.</t>
        </is>
      </c>
      <c r="J5" s="28" t="inlineStr">
        <is>
          <t>Simule seu código no papel com a entrada: X = 10, Y = 20. O que acontece quando você tenta executar essa parte do programa?</t>
        </is>
      </c>
      <c r="K5" s="29" t="inlineStr">
        <is>
          <t>Execução</t>
        </is>
      </c>
      <c r="L5" s="29" t="n">
        <v>3</v>
      </c>
      <c r="M5" s="29" t="inlineStr">
        <is>
          <t>'int. input()' com ponto: gera AttributeError em tempo de execução (não é sintaxe).</t>
        </is>
      </c>
      <c r="N5" s="26">
        <f>IF(AND(H5&lt;&gt;"",K5&lt;&gt;""),IF(H5=K5,1,0),"")</f>
        <v/>
      </c>
      <c r="O5" s="30" t="n"/>
      <c r="P5" s="30" t="n"/>
      <c r="Q5" s="30" t="n"/>
      <c r="R5" s="30" t="n"/>
      <c r="S5" s="30" t="n"/>
      <c r="T5" s="26" t="n"/>
    </row>
    <row r="6" ht="114.75" customHeight="1" s="1">
      <c r="A6" s="26" t="n">
        <v>1132</v>
      </c>
      <c r="B6" s="26" t="n">
        <v>1</v>
      </c>
      <c r="C6" s="26" t="n">
        <v>5</v>
      </c>
      <c r="D6" s="26" t="inlineStr">
        <is>
          <t>Runtime error</t>
        </is>
      </c>
      <c r="E6" s="27" t="inlineStr">
        <is>
          <t>#include &lt;stdio.h&gt;
X, Y= map(int. input().split())
soma = 0
for c in range(X, Y+1):
    if c % 13 != 0:
        soma += c
print(soma)</t>
        </is>
      </c>
      <c r="F6" s="28" t="b">
        <v>0</v>
      </c>
      <c r="G6" s="28" t="n">
        <v>3</v>
      </c>
      <c r="H6" s="28" t="inlineStr">
        <is>
          <t>Sintaxe</t>
        </is>
      </c>
      <c r="I6" s="28" t="inlineStr">
        <is>
          <t>Seu código tem um erro de sintaxe que impede sua execução. Tente verificar a forma correta de usar o método split() e map().</t>
        </is>
      </c>
      <c r="J6" s="28" t="inlineStr">
        <is>
          <t>Tente executar seu programa com os valores X=100 e Y=200 (como no caso padrão). O que acontece quando você tenta ler esses valores? Você pode verificar se está usando corretamente a sintaxe de split() e map().</t>
        </is>
      </c>
      <c r="K6" s="29" t="inlineStr">
        <is>
          <t>Execução</t>
        </is>
      </c>
      <c r="L6" s="29" t="n">
        <v>3</v>
      </c>
      <c r="M6" s="29" t="inlineStr">
        <is>
          <t>'int. input()' com ponto: gera AttributeError em tempo de execução (não é sintaxe).</t>
        </is>
      </c>
      <c r="N6" s="26">
        <f>IF(AND(H6&lt;&gt;"",K6&lt;&gt;""),IF(H6=K6,1,0),"")</f>
        <v/>
      </c>
      <c r="O6" s="30" t="n"/>
      <c r="P6" s="30" t="n"/>
      <c r="Q6" s="30" t="n"/>
      <c r="R6" s="30" t="n"/>
      <c r="S6" s="30" t="n"/>
      <c r="T6" s="26" t="n"/>
    </row>
    <row r="7" ht="114.75" customHeight="1" s="1">
      <c r="A7" s="26" t="n">
        <v>1132</v>
      </c>
      <c r="B7" s="26" t="n">
        <v>1</v>
      </c>
      <c r="C7" s="26" t="n">
        <v>6</v>
      </c>
      <c r="D7" s="26" t="inlineStr">
        <is>
          <t>Runtime error</t>
        </is>
      </c>
      <c r="E7" s="27" t="inlineStr">
        <is>
          <t>#include &lt;stdio.h&gt;
X, Y= map(int, input().split())
soma = 0
for c in range(X, Y+1):
    if c % 13 != 0:
        soma += c
print(soma)</t>
        </is>
      </c>
      <c r="F7" s="28" t="b">
        <v>0</v>
      </c>
      <c r="G7" s="28" t="n">
        <v>3</v>
      </c>
      <c r="H7" s="28" t="inlineStr">
        <is>
          <t>Sintaxe</t>
        </is>
      </c>
      <c r="I7" s="28" t="inlineStr">
        <is>
          <t>Há um erro na forma como você está lendo os valores de entrada. Tente pensar em como garantir que X e Y sejam atribuídos corretamente a partir da linha de comando.</t>
        </is>
      </c>
      <c r="J7" s="28" t="inlineStr">
        <is>
          <t>Tente executar seu código com a entrada '100 200'. O que acontece? Como você poderia ajustar a leitura dos valores para funcionar corretamente?</t>
        </is>
      </c>
      <c r="K7" s="29" t="inlineStr">
        <is>
          <t>Execução</t>
        </is>
      </c>
      <c r="L7" s="29" t="n">
        <v>3</v>
      </c>
      <c r="M7" s="29" t="inlineStr">
        <is>
          <t>input().split() lê 1 linha, mas a entrada tem X e Y em linhas separadas -&gt; ValueError.</t>
        </is>
      </c>
      <c r="N7" s="26">
        <f>IF(AND(H7&lt;&gt;"",K7&lt;&gt;""),IF(H7=K7,1,0),"")</f>
        <v/>
      </c>
      <c r="O7" s="30" t="n"/>
      <c r="P7" s="30" t="n"/>
      <c r="Q7" s="30" t="n"/>
      <c r="R7" s="30" t="n"/>
      <c r="S7" s="30" t="n"/>
      <c r="T7" s="26" t="n"/>
    </row>
    <row r="8" ht="127.5" customHeight="1" s="1">
      <c r="A8" s="26" t="n">
        <v>1132</v>
      </c>
      <c r="B8" s="26" t="n">
        <v>1</v>
      </c>
      <c r="C8" s="26" t="n">
        <v>7</v>
      </c>
      <c r="D8" s="26" t="inlineStr">
        <is>
          <t>Wrong answer (100%)</t>
        </is>
      </c>
      <c r="E8" s="27" t="inlineStr">
        <is>
          <t>#include &lt;stdio.h&gt;
X = int(input())
Y= int(input())
soma = 0
for c in range(X, Y+1):
    if c % 13 != 0:
        soma += c
print(soma)</t>
        </is>
      </c>
      <c r="F8" s="28" t="b">
        <v>0</v>
      </c>
      <c r="G8" s="28" t="n">
        <v>6</v>
      </c>
      <c r="H8" s="28" t="inlineStr">
        <is>
          <t>Lógica</t>
        </is>
      </c>
      <c r="I8" s="28" t="inlineStr">
        <is>
          <t>Seu código não considera a ordem dos valores de entrada. Quando X é maior que Y, o intervalo gerado pelo range pode ser vazio.</t>
        </is>
      </c>
      <c r="J8" s="28" t="inlineStr">
        <is>
          <t>Simule seu código no papel com os valores X=200 e Y=100. Quantas vezes o laço for será executado? O comportamento esperado é diferente?</t>
        </is>
      </c>
      <c r="K8" s="29" t="inlineStr">
        <is>
          <t>Lógica</t>
        </is>
      </c>
      <c r="L8" s="29" t="n">
        <v>7</v>
      </c>
      <c r="M8" s="29" t="inlineStr">
        <is>
          <t>Não trata X &gt; Y: para 200/100 o range fica vazio e a soma sai errada.</t>
        </is>
      </c>
      <c r="N8" s="26">
        <f>IF(AND(H8&lt;&gt;"",K8&lt;&gt;""),IF(H8=K8,1,0),"")</f>
        <v/>
      </c>
      <c r="O8" s="30" t="n"/>
      <c r="P8" s="30" t="n"/>
      <c r="Q8" s="30" t="n"/>
      <c r="R8" s="30" t="n"/>
      <c r="S8" s="30" t="n"/>
      <c r="T8" s="26" t="n"/>
    </row>
    <row r="9" ht="165.75" customHeight="1" s="1">
      <c r="A9" s="26" t="n">
        <v>1132</v>
      </c>
      <c r="B9" s="26" t="n">
        <v>1</v>
      </c>
      <c r="C9" s="26" t="n">
        <v>8</v>
      </c>
      <c r="D9" s="26" t="inlineStr">
        <is>
          <t>Accepted</t>
        </is>
      </c>
      <c r="E9" s="27" t="inlineStr">
        <is>
          <t>#include &lt;stdio.h&gt;
X = int(input())
Y = int(input())
if X &gt; Y:
    X, Y = Y, X
soma = 0
for c in range(X, Y+1):
    if c % 13 != 0:
        soma += c
print(soma)</t>
        </is>
      </c>
      <c r="F9" s="28" t="b">
        <v>0</v>
      </c>
      <c r="G9" s="28" t="n">
        <v>8</v>
      </c>
      <c r="H9" s="28" t="inlineStr">
        <is>
          <t>Lógica</t>
        </is>
      </c>
      <c r="I9" s="28" t="inlineStr">
        <is>
          <t>O código está com um problema na lógica para verificar múltiplos de 13.</t>
        </is>
      </c>
      <c r="J9" s="28" t="inlineStr">
        <is>
          <t>Teste a condição 'c % 13 != 0' manualmente com o número -26. O que ela retorna? Esse valor é múltiplo de 13?</t>
        </is>
      </c>
      <c r="K9" s="29" t="inlineStr">
        <is>
          <t>Nenhum (código correto)</t>
        </is>
      </c>
      <c r="L9" s="29" t="n"/>
      <c r="M9" s="29" t="inlineStr">
        <is>
          <t>Passou 10/10 casos de teste.</t>
        </is>
      </c>
      <c r="N9" s="26">
        <f>IF(AND(H9&lt;&gt;"",K9&lt;&gt;""),IF(H9=K9,1,0),"")</f>
        <v/>
      </c>
      <c r="O9" s="30" t="n"/>
      <c r="P9" s="30" t="n"/>
      <c r="Q9" s="30" t="n"/>
      <c r="R9" s="30" t="n"/>
      <c r="S9" s="30" t="n"/>
      <c r="T9" s="26" t="n"/>
    </row>
    <row r="10" ht="165.75" customHeight="1" s="1">
      <c r="A10" s="26" t="n">
        <v>1132</v>
      </c>
      <c r="B10" s="26" t="n">
        <v>2</v>
      </c>
      <c r="C10" s="26" t="n">
        <v>1</v>
      </c>
      <c r="D10" s="26" t="inlineStr">
        <is>
          <t>Runtime error</t>
        </is>
      </c>
      <c r="E10" s="27" t="inlineStr">
        <is>
          <t xml:space="preserve">x = int(input())
y = int(input())
naoDivisiveisPor13 = []
for numero in rage(x, y + 1):
    if numero % 13 != 0:
      naoDivisiveisPor13.append(numero)
soma = sum(naoDivisiveisPor13)
print('{}'.format(soma))
</t>
        </is>
      </c>
      <c r="F10" s="28" t="b">
        <v>0</v>
      </c>
      <c r="G10" s="28" t="n">
        <v>5</v>
      </c>
      <c r="H10" s="28" t="inlineStr">
        <is>
          <t>Sintaxe</t>
        </is>
      </c>
      <c r="I10" s="28" t="inlineStr">
        <is>
          <t>Parece que há um pequeno erro de digitação na hora de escrever a função usada no laço.</t>
        </is>
      </c>
      <c r="J10" s="28" t="inlineStr">
        <is>
          <t>Você já usou 'range' em outros exercícios. Qual é o nome correto da função que gera uma sequência numérica? Tente executar seu código com os valores X=100 e Y=200, o que acontece?</t>
        </is>
      </c>
      <c r="K10" s="29" t="inlineStr">
        <is>
          <t>Execução</t>
        </is>
      </c>
      <c r="L10" s="29" t="n">
        <v>6</v>
      </c>
      <c r="M10" s="29" t="inlineStr">
        <is>
          <t>'rage' em vez de 'range' (NameError) na linha 6.</t>
        </is>
      </c>
      <c r="N10" s="26">
        <f>IF(AND(H10&lt;&gt;"",K10&lt;&gt;""),IF(H10=K10,1,0),"")</f>
        <v/>
      </c>
      <c r="O10" s="30" t="n"/>
      <c r="P10" s="30" t="n"/>
      <c r="Q10" s="30" t="n"/>
      <c r="R10" s="30" t="n"/>
      <c r="S10" s="30" t="n"/>
      <c r="T10" s="26" t="n"/>
    </row>
    <row r="11" ht="153" customHeight="1" s="1">
      <c r="A11" s="26" t="n">
        <v>1132</v>
      </c>
      <c r="B11" s="26" t="n">
        <v>2</v>
      </c>
      <c r="C11" s="26" t="n">
        <v>2</v>
      </c>
      <c r="D11" s="26" t="inlineStr">
        <is>
          <t>Wrong answer (100%)</t>
        </is>
      </c>
      <c r="E11" s="27" t="inlineStr">
        <is>
          <t>x = int(input())
y = int(input())
naoDivisiveisPor13 = []
for numero in range(x, y + 1):
    if numero % 13 != 0:
      naoDivisiveisPor13.append(numero)
soma = sum(naoDivisiveisPor13)
print('{}'.format(soma))</t>
        </is>
      </c>
      <c r="F11" s="28" t="b">
        <v>0</v>
      </c>
      <c r="G11" s="28" t="n">
        <v>4</v>
      </c>
      <c r="H11" s="28" t="inlineStr">
        <is>
          <t>Lógica</t>
        </is>
      </c>
      <c r="I11" s="28" t="inlineStr">
        <is>
          <t>Seu código tem uma falha na lógica do intervalo quando X é maior que Y.</t>
        </is>
      </c>
      <c r="J11" s="28" t="inlineStr">
        <is>
          <t>Simule seu código no papel com a entrada: X=200 e Y=100. Quantos números o laço for percorre? O resultado está correto?</t>
        </is>
      </c>
      <c r="K11" s="29" t="inlineStr">
        <is>
          <t>Lógica</t>
        </is>
      </c>
      <c r="L11" s="29" t="n">
        <v>6</v>
      </c>
      <c r="M11" s="29" t="inlineStr">
        <is>
          <t>Não trata X &gt; Y (range(200,101) vazio).</t>
        </is>
      </c>
      <c r="N11" s="26">
        <f>IF(AND(H11&lt;&gt;"",K11&lt;&gt;""),IF(H11=K11,1,0),"")</f>
        <v/>
      </c>
      <c r="O11" s="30" t="n"/>
      <c r="P11" s="30" t="n"/>
      <c r="Q11" s="30" t="n"/>
      <c r="R11" s="30" t="n"/>
      <c r="S11" s="30" t="n"/>
      <c r="T11" s="26" t="n"/>
    </row>
    <row r="12" ht="153" customHeight="1" s="1">
      <c r="A12" s="26" t="n">
        <v>1132</v>
      </c>
      <c r="B12" s="26" t="n">
        <v>2</v>
      </c>
      <c r="C12" s="26" t="n">
        <v>3</v>
      </c>
      <c r="D12" s="26" t="inlineStr">
        <is>
          <t>Wrong answer (100%)</t>
        </is>
      </c>
      <c r="E12" s="27" t="inlineStr">
        <is>
          <t>x = int(input())
y = int(input())
naoDivisiveisPor13 = []
for numero in range(x, y + 1):
    if numero % 13 != 0:
      naoDivisiveisPor13.append(numero)
soma = sum(naoDivisiveisPor13)
print(soma)</t>
        </is>
      </c>
      <c r="F12" s="28" t="b">
        <v>0</v>
      </c>
      <c r="G12" s="28" t="n">
        <v>4</v>
      </c>
      <c r="H12" s="28" t="inlineStr">
        <is>
          <t>Lógica</t>
        </is>
      </c>
      <c r="I12" s="28" t="inlineStr">
        <is>
          <t>Seu código tem um problema com a ordem dos valores. Tente pensar: o que acontece quando X é maior que Y?</t>
        </is>
      </c>
      <c r="J12" s="28" t="inlineStr">
        <is>
          <t>Simule seu código no papel com os valores X=200 e Y=100. O laço for será executado? Qual será o resultado da soma?</t>
        </is>
      </c>
      <c r="K12" s="29" t="inlineStr">
        <is>
          <t>Lógica</t>
        </is>
      </c>
      <c r="L12" s="29" t="n">
        <v>6</v>
      </c>
      <c r="M12" s="29" t="inlineStr">
        <is>
          <t>Não trata X &gt; Y (range(200,101) vazio).</t>
        </is>
      </c>
      <c r="N12" s="26">
        <f>IF(AND(H12&lt;&gt;"",K12&lt;&gt;""),IF(H12=K12,1,0),"")</f>
        <v/>
      </c>
      <c r="O12" s="30" t="n"/>
      <c r="P12" s="30" t="n"/>
      <c r="Q12" s="30" t="n"/>
      <c r="R12" s="30" t="n"/>
      <c r="S12" s="30" t="n"/>
      <c r="T12" s="26" t="n"/>
    </row>
    <row r="13" ht="165.75" customHeight="1" s="1">
      <c r="A13" s="26" t="n">
        <v>1132</v>
      </c>
      <c r="B13" s="26" t="n">
        <v>2</v>
      </c>
      <c r="C13" s="26" t="n">
        <v>4</v>
      </c>
      <c r="D13" s="26" t="inlineStr">
        <is>
          <t>Accepted</t>
        </is>
      </c>
      <c r="E13" s="27" t="inlineStr">
        <is>
          <t>x = int(input())
y = int(input())
if x &gt; y:
    x, y = y, x
soma = 0
for numero in range(x, y + 1):
    if numero % 13 != 0:
        soma += numero
print(soma)</t>
        </is>
      </c>
      <c r="F13" s="28" t="b">
        <v>1</v>
      </c>
      <c r="G13" s="28" t="inlineStr">
        <is>
          <t>-</t>
        </is>
      </c>
      <c r="H13" s="28" t="inlineStr">
        <is>
          <t>Nenhum (código correto)</t>
        </is>
      </c>
      <c r="I13" s="28" t="inlineStr">
        <is>
          <t>Seu código está funcionando corretamente para todos os casos testados!</t>
        </is>
      </c>
      <c r="J13" s="28" t="inlineStr">
        <is>
          <t>Você pode verificar se seu programa funciona com a entrada: x = 13 e y = 15. O que ele retorna nesse caso?</t>
        </is>
      </c>
      <c r="K13" s="29" t="inlineStr">
        <is>
          <t>Nenhum (código correto)</t>
        </is>
      </c>
      <c r="L13" s="29" t="n"/>
      <c r="M13" s="29" t="inlineStr">
        <is>
          <t>Passou 10/10 casos de teste.</t>
        </is>
      </c>
      <c r="N13" s="26">
        <f>IF(AND(H13&lt;&gt;"",K13&lt;&gt;""),IF(H13=K13,1,0),"")</f>
        <v/>
      </c>
      <c r="O13" s="30" t="n"/>
      <c r="P13" s="30" t="n"/>
      <c r="Q13" s="30" t="n"/>
      <c r="R13" s="30" t="n"/>
      <c r="S13" s="30" t="n"/>
      <c r="T13" s="26" t="n"/>
    </row>
    <row r="14" ht="153" customHeight="1" s="1">
      <c r="A14" s="26" t="n">
        <v>1132</v>
      </c>
      <c r="B14" s="26" t="n">
        <v>3</v>
      </c>
      <c r="C14" s="26" t="n">
        <v>1</v>
      </c>
      <c r="D14" s="26" t="inlineStr">
        <is>
          <t>Runtime error</t>
        </is>
      </c>
      <c r="E14" s="27" t="inlineStr">
        <is>
          <t>X = int(input())
Y = int(input())
def naom13(X, Y):
    if X &gt; Y:
        X, Y = Y, X
    soma = 0
    for c in range(X, Y + 1):
        if c % 13 != 0:
            soma += c
    return soma
resultado = naom13(X, Y)
print(f'{resultado}')</t>
        </is>
      </c>
      <c r="F14" s="28" t="b">
        <v>1</v>
      </c>
      <c r="G14" s="28" t="inlineStr">
        <is>
          <t>-</t>
        </is>
      </c>
      <c r="H14" s="28" t="inlineStr">
        <is>
          <t>Nenhum (código correto)</t>
        </is>
      </c>
      <c r="I14" s="28" t="inlineStr">
        <is>
          <t>Seu código está funcionando perfeitamente para todos os casos testados!</t>
        </is>
      </c>
      <c r="J14" s="28" t="inlineStr">
        <is>
          <t>Você pode verificar se seu código funciona corretamente com o caso de teste onde X=10 e Y=20. Qual a soma dos números não múltiplos de 13 nesse intervalo?</t>
        </is>
      </c>
      <c r="K14" s="29" t="inlineStr">
        <is>
          <t>Nenhum (código correto)</t>
        </is>
      </c>
      <c r="L14" s="29" t="n"/>
      <c r="M14" s="29" t="inlineStr">
        <is>
          <t>Passa 10/10 em Python 3. (BeeCrowd deu Runtime error por f-string em Python antigo — problema de ambiente, não do código.)</t>
        </is>
      </c>
      <c r="N14" s="26">
        <f>IF(AND(H14&lt;&gt;"",K14&lt;&gt;""),IF(H14=K14,1,0),"")</f>
        <v/>
      </c>
      <c r="O14" s="30" t="n"/>
      <c r="P14" s="30" t="n"/>
      <c r="Q14" s="30" t="n"/>
      <c r="R14" s="30" t="n"/>
      <c r="S14" s="30" t="n"/>
      <c r="T14" s="26" t="n"/>
    </row>
    <row r="15" ht="153" customHeight="1" s="1">
      <c r="A15" s="26" t="n">
        <v>1132</v>
      </c>
      <c r="B15" s="26" t="n">
        <v>3</v>
      </c>
      <c r="C15" s="26" t="n">
        <v>2</v>
      </c>
      <c r="D15" s="26" t="inlineStr">
        <is>
          <t>Accepted</t>
        </is>
      </c>
      <c r="E15" s="27" t="inlineStr">
        <is>
          <t>X = int(input())
Y = int(input())
def naom13(X, Y):
    if X &gt; Y:
        X, Y = Y, X
    soma = 0
    for c in range(X, Y + 1):
        if c % 13 != 0:
            soma += c
    return soma
resultado = naom13(X, Y)
print('{}'.format(resultado))</t>
        </is>
      </c>
      <c r="F15" s="28" t="b">
        <v>0</v>
      </c>
      <c r="G15" s="28" t="n">
        <v>7</v>
      </c>
      <c r="H15" s="28" t="inlineStr">
        <is>
          <t>Lógica</t>
        </is>
      </c>
      <c r="I15" s="28" t="inlineStr">
        <is>
          <t>Parece que há uma falha na lógica para verificar múltiplos de 13 em certos intervalos, especialmente com números negativos.</t>
        </is>
      </c>
      <c r="J15" s="28" t="inlineStr">
        <is>
          <t>Simule seu código mentalmente com a entrada X=-14 e Y=-12. Quantos números entre esses dois (inclusive) são considerados múltiplos de 13? E o que isso significa para sua soma?</t>
        </is>
      </c>
      <c r="K15" s="29" t="inlineStr">
        <is>
          <t>Nenhum (código correto)</t>
        </is>
      </c>
      <c r="L15" s="29" t="n"/>
      <c r="M15" s="29" t="inlineStr">
        <is>
          <t>Passou 10/10 casos de teste.</t>
        </is>
      </c>
      <c r="N15" s="26">
        <f>IF(AND(H15&lt;&gt;"",K15&lt;&gt;""),IF(H15=K15,1,0),"")</f>
        <v/>
      </c>
      <c r="O15" s="30" t="n"/>
      <c r="P15" s="30" t="n"/>
      <c r="Q15" s="30" t="n"/>
      <c r="R15" s="30" t="n"/>
      <c r="S15" s="30" t="n"/>
      <c r="T15" s="26" t="n"/>
    </row>
    <row r="16" ht="114.75" customHeight="1" s="1">
      <c r="A16" s="26" t="n">
        <v>1153</v>
      </c>
      <c r="B16" s="26" t="n">
        <v>1</v>
      </c>
      <c r="C16" s="26" t="n">
        <v>1</v>
      </c>
      <c r="D16" s="26" t="inlineStr">
        <is>
          <t>Accepted</t>
        </is>
      </c>
      <c r="E16" s="27" t="inlineStr">
        <is>
          <t>N = int(input())
if 0 &lt; N &lt; 13:
    valorNovo = 1
    for c in range(1, N + 1):
        valorNovo *= c
    print(valorNovo)
else:
    print("O valor de N deve estar no intervalo 0 &lt; N &lt; 13.")</t>
        </is>
      </c>
      <c r="F16" s="28" t="b">
        <v>1</v>
      </c>
      <c r="G16" s="28" t="inlineStr">
        <is>
          <t>-</t>
        </is>
      </c>
      <c r="H16" s="28" t="inlineStr">
        <is>
          <t>Nenhum (código correto)</t>
        </is>
      </c>
      <c r="I16" s="28" t="inlineStr">
        <is>
          <t>Seu código está bem estruturado e resolve corretamente os casos de teste.</t>
        </is>
      </c>
      <c r="J16" s="28" t="inlineStr">
        <is>
          <t>Teste seu código com a entrada N = 0. O que ele imprime? Será que essa entrada é válida segundo o enunciado?</t>
        </is>
      </c>
      <c r="K16" s="29" t="inlineStr">
        <is>
          <t>Nenhum (código correto)</t>
        </is>
      </c>
      <c r="L16" s="29" t="n"/>
      <c r="M16" s="29" t="inlineStr">
        <is>
          <t>Passou 6/6 casos de teste (0! não é testado: enunciado real garante 0 &lt; N).</t>
        </is>
      </c>
      <c r="N16" s="26">
        <f>IF(AND(H16&lt;&gt;"",K16&lt;&gt;""),IF(H16=K16,1,0),"")</f>
        <v/>
      </c>
      <c r="O16" s="30" t="n"/>
      <c r="P16" s="30" t="n"/>
      <c r="Q16" s="30" t="n"/>
      <c r="R16" s="30" t="n"/>
      <c r="S16" s="30" t="n"/>
      <c r="T16" s="26" t="n"/>
    </row>
    <row r="17" ht="114.75" customHeight="1" s="1">
      <c r="A17" s="26" t="n">
        <v>1153</v>
      </c>
      <c r="B17" s="26" t="n">
        <v>2</v>
      </c>
      <c r="C17" s="26" t="n">
        <v>1</v>
      </c>
      <c r="D17" s="26" t="inlineStr">
        <is>
          <t>Wrong answer (100%)</t>
        </is>
      </c>
      <c r="E17" s="27" t="inlineStr">
        <is>
          <t>n = int(input())
if 0 &lt; n &lt; 13:
    resultadoFatorial = 1
for i in range(1, n + 1):
    resultadoFatorial *= 1
print(resultadoFatorial)</t>
        </is>
      </c>
      <c r="F17" s="28" t="b">
        <v>0</v>
      </c>
      <c r="G17" s="28" t="n">
        <v>6</v>
      </c>
      <c r="H17" s="28" t="inlineStr">
        <is>
          <t>Lógica</t>
        </is>
      </c>
      <c r="I17" s="28" t="inlineStr">
        <is>
          <t>Seu código está multiplicando o resultado por 1 a cada iteração, em vez de usar o valor correto.</t>
        </is>
      </c>
      <c r="J17" s="28" t="inlineStr">
        <is>
          <t>Simule seu código no papel com a entrada N=4. Quantas vezes o laço executa? O que é multiplicado em cada iteração?</t>
        </is>
      </c>
      <c r="K17" s="29" t="inlineStr">
        <is>
          <t>Lógica</t>
        </is>
      </c>
      <c r="L17" s="29" t="n">
        <v>7</v>
      </c>
      <c r="M17" s="29" t="inlineStr">
        <is>
          <t>'resultadoFatorial *= 1' deveria multiplicar por i: resultado fica sempre 1.</t>
        </is>
      </c>
      <c r="N17" s="26">
        <f>IF(AND(H17&lt;&gt;"",K17&lt;&gt;""),IF(H17=K17,1,0),"")</f>
        <v/>
      </c>
      <c r="O17" s="30" t="n"/>
      <c r="P17" s="30" t="n"/>
      <c r="Q17" s="30" t="n"/>
      <c r="R17" s="30" t="n"/>
      <c r="S17" s="30" t="n"/>
      <c r="T17" s="26" t="n"/>
    </row>
    <row r="18" ht="127.5" customHeight="1" s="1">
      <c r="A18" s="26" t="n">
        <v>1153</v>
      </c>
      <c r="B18" s="26" t="n">
        <v>2</v>
      </c>
      <c r="C18" s="26" t="n">
        <v>2</v>
      </c>
      <c r="D18" s="26" t="inlineStr">
        <is>
          <t>Runtime error</t>
        </is>
      </c>
      <c r="E18" s="27" t="inlineStr">
        <is>
          <t>n = int(input())
if 0 &lt; n &lt; 13:
    resultadoFatorial = 1
while n &gt; 1
    resultadoFatorial *= n
    n -= 1
print(resultadoFatorial)</t>
        </is>
      </c>
      <c r="F18" s="28" t="b">
        <v>0</v>
      </c>
      <c r="G18" s="28" t="n">
        <v>7</v>
      </c>
      <c r="H18" s="28" t="inlineStr">
        <is>
          <t>Sintaxe</t>
        </is>
      </c>
      <c r="I18" s="28" t="inlineStr">
        <is>
          <t>Seu código apresenta um erro de sintaxe. Confira se todos os comandos estão com a pontuação correta.</t>
        </is>
      </c>
      <c r="J18" s="28" t="inlineStr">
        <is>
          <t>Simule seu código no papel com N=5. O que acontece quando ele tenta executar o laço while? Você pode verificar se há algum caractere faltando na linha do while?</t>
        </is>
      </c>
      <c r="K18" s="29" t="inlineStr">
        <is>
          <t>Sintaxe</t>
        </is>
      </c>
      <c r="L18" s="29" t="n">
        <v>6</v>
      </c>
      <c r="M18" s="29" t="inlineStr">
        <is>
          <t>Falta ':' no final do while (linha 6).</t>
        </is>
      </c>
      <c r="N18" s="26">
        <f>IF(AND(H18&lt;&gt;"",K18&lt;&gt;""),IF(H18=K18,1,0),"")</f>
        <v/>
      </c>
      <c r="O18" s="30" t="n"/>
      <c r="P18" s="30" t="n"/>
      <c r="Q18" s="30" t="n"/>
      <c r="R18" s="30" t="n"/>
      <c r="S18" s="30" t="n"/>
      <c r="T18" s="26" t="n"/>
    </row>
    <row r="19" ht="140.25" customHeight="1" s="1">
      <c r="A19" s="26" t="n">
        <v>1153</v>
      </c>
      <c r="B19" s="26" t="n">
        <v>2</v>
      </c>
      <c r="C19" s="26" t="n">
        <v>3</v>
      </c>
      <c r="D19" s="26" t="inlineStr">
        <is>
          <t>Accepted</t>
        </is>
      </c>
      <c r="E19" s="27" t="inlineStr">
        <is>
          <t>N = int(input())
if 0 &lt; N &lt; 13:
    resultado_fatorial = 1
    for i in range(2, N + 1):
        resultado_fatorial *= i
    print(resultado_fatorial)
else:
    print("Por favor, insira um valor válido para N.")</t>
        </is>
      </c>
      <c r="F19" s="28" t="b">
        <v>0</v>
      </c>
      <c r="G19" s="28" t="n">
        <v>4</v>
      </c>
      <c r="H19" s="28" t="inlineStr">
        <is>
          <t>Lógica</t>
        </is>
      </c>
      <c r="I19" s="28" t="inlineStr">
        <is>
          <t>Há uma condição de validação que pode deixar passar um caso especial não tratado.</t>
        </is>
      </c>
      <c r="J19" s="28" t="inlineStr">
        <is>
          <t>Simule seu código no papel com a entrada N=0. O que ele faz? Ele aceita ou rejeita essa entrada?</t>
        </is>
      </c>
      <c r="K19" s="29" t="inlineStr">
        <is>
          <t>Nenhum (código correto)</t>
        </is>
      </c>
      <c r="L19" s="29" t="n"/>
      <c r="M19" s="29" t="inlineStr">
        <is>
          <t>Passou 6/6 casos de teste.</t>
        </is>
      </c>
      <c r="N19" s="26">
        <f>IF(AND(H19&lt;&gt;"",K19&lt;&gt;""),IF(H19=K19,1,0),"")</f>
        <v/>
      </c>
      <c r="O19" s="30" t="n"/>
      <c r="P19" s="30" t="n"/>
      <c r="Q19" s="30" t="n"/>
      <c r="R19" s="30" t="n"/>
      <c r="S19" s="30" t="n"/>
      <c r="T19" s="26" t="n"/>
    </row>
    <row r="20" ht="63.75" customHeight="1" s="1">
      <c r="A20" s="26" t="n">
        <v>1153</v>
      </c>
      <c r="B20" s="26" t="n">
        <v>3</v>
      </c>
      <c r="C20" s="26" t="n">
        <v>1</v>
      </c>
      <c r="D20" s="26" t="inlineStr">
        <is>
          <t>Accepted</t>
        </is>
      </c>
      <c r="E20" s="27" t="inlineStr">
        <is>
          <t>N = int(input())
fatorial = 1
for c in range(N, 0, -1):
    fatorial *= c
print('{}'.format(fatorial))</t>
        </is>
      </c>
      <c r="F20" s="28" t="b">
        <v>1</v>
      </c>
      <c r="G20" s="28" t="inlineStr">
        <is>
          <t>-</t>
        </is>
      </c>
      <c r="H20" s="28" t="inlineStr">
        <is>
          <t>Nenhum (código correto)</t>
        </is>
      </c>
      <c r="I20" s="28" t="inlineStr">
        <is>
          <t>Seu código está funcionando corretamente para os casos testados!</t>
        </is>
      </c>
      <c r="J20" s="28" t="inlineStr">
        <is>
          <t>Simule seu código no papel com a entrada N=0. O que acontece com o laço for?</t>
        </is>
      </c>
      <c r="K20" s="29" t="inlineStr">
        <is>
          <t>Nenhum (código correto)</t>
        </is>
      </c>
      <c r="L20" s="29" t="n"/>
      <c r="M20" s="29" t="inlineStr">
        <is>
          <t>Passou 6/6 casos de teste.</t>
        </is>
      </c>
      <c r="N20" s="26">
        <f>IF(AND(H20&lt;&gt;"",K20&lt;&gt;""),IF(H20=K20,1,0),"")</f>
        <v/>
      </c>
      <c r="O20" s="30" t="n"/>
      <c r="P20" s="30" t="n"/>
      <c r="Q20" s="30" t="n"/>
      <c r="R20" s="30" t="n"/>
      <c r="S20" s="30" t="n"/>
      <c r="T20" s="26" t="n"/>
    </row>
    <row r="21" ht="293.25" customHeight="1" s="1">
      <c r="A21" s="26" t="n">
        <v>1828</v>
      </c>
      <c r="B21" s="26" t="n">
        <v>1</v>
      </c>
      <c r="C21" s="26" t="n">
        <v>1</v>
      </c>
      <c r="D21" s="26" t="inlineStr">
        <is>
          <t>Runtime error</t>
        </is>
      </c>
      <c r="E21" s="27" t="inlineStr">
        <is>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1" s="28" t="b">
        <v>0</v>
      </c>
      <c r="G21" s="28" t="n">
        <v>14</v>
      </c>
      <c r="H21" s="28" t="inlineStr">
        <is>
          <t>Sintaxe</t>
        </is>
      </c>
      <c r="I21" s="28" t="inlineStr">
        <is>
          <t>Seu código tem um erro de sintaxe que impede a execução. Preste atenção na estrutura das chamadas de função e parênteses.</t>
        </is>
      </c>
      <c r="J21" s="28" t="inlineStr">
        <is>
          <t>Simule o código com a entrada 'Spock papel' e veja se ele roda sem erros. Onde você fecha o parêntese da chamada ao .format()?</t>
        </is>
      </c>
      <c r="K21" s="29" t="inlineStr">
        <is>
          <t>Sintaxe</t>
        </is>
      </c>
      <c r="L21" s="29" t="n">
        <v>16</v>
      </c>
      <c r="M21" s="29" t="inlineStr">
        <is>
          <t>Parêntese aberto e não fechado no print (linha 16).</t>
        </is>
      </c>
      <c r="N21" s="26">
        <f>IF(AND(H21&lt;&gt;"",K21&lt;&gt;""),IF(H21=K21,1,0),"")</f>
        <v/>
      </c>
      <c r="O21" s="30" t="n"/>
      <c r="P21" s="30" t="n"/>
      <c r="Q21" s="30" t="n"/>
      <c r="R21" s="30" t="n"/>
      <c r="S21" s="30" t="n"/>
      <c r="T21" s="26" t="n"/>
    </row>
    <row r="22" ht="293.25" customHeight="1" s="1">
      <c r="A22" s="26" t="n">
        <v>1828</v>
      </c>
      <c r="B22" s="26" t="n">
        <v>1</v>
      </c>
      <c r="C22" s="26" t="n">
        <v>2</v>
      </c>
      <c r="D22" s="26" t="inlineStr">
        <is>
          <t>Wrong answer (5%)</t>
        </is>
      </c>
      <c r="E22" s="27" t="inlineStr">
        <is>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2" s="28" t="b">
        <v>0</v>
      </c>
      <c r="G22" s="28" t="n">
        <v>9</v>
      </c>
      <c r="H22" s="28" t="inlineStr">
        <is>
          <t>Sintaxe</t>
        </is>
      </c>
      <c r="I22" s="28" t="inlineStr">
        <is>
          <t>Seu código apresenta um erro de sintaxe que impede sua execução. Preste atenção na estrutura das condições.</t>
        </is>
      </c>
      <c r="J22" s="28" t="inlineStr">
        <is>
          <t>Simule o código com a entrada '1\nSpock pedra'. O que acontece quando ele tenta executar essa linha? Você percebe algum problema com os parênteses?</t>
        </is>
      </c>
      <c r="K22" s="29" t="inlineStr">
        <is>
          <t>Lógica</t>
        </is>
      </c>
      <c r="L22" s="29" t="n">
        <v>3</v>
      </c>
      <c r="M22" s="29" t="inlineStr">
        <is>
          <t>input() com texto de prompt imprime o prompt na saída, quebrando a correção.</t>
        </is>
      </c>
      <c r="N22" s="26">
        <f>IF(AND(H22&lt;&gt;"",K22&lt;&gt;""),IF(H22=K22,1,0),"")</f>
        <v/>
      </c>
      <c r="O22" s="30" t="n"/>
      <c r="P22" s="30" t="n"/>
      <c r="Q22" s="30" t="n"/>
      <c r="R22" s="30" t="n"/>
      <c r="S22" s="30" t="n"/>
      <c r="T22" s="26" t="n"/>
    </row>
    <row r="23" ht="293.25" customHeight="1" s="1">
      <c r="A23" s="26" t="n">
        <v>1828</v>
      </c>
      <c r="B23" s="26" t="n">
        <v>1</v>
      </c>
      <c r="C23" s="26" t="n">
        <v>3</v>
      </c>
      <c r="D23" s="26" t="inlineStr">
        <is>
          <t>Accepted</t>
        </is>
      </c>
      <c r="E23" s="27" t="inlineStr">
        <is>
          <t># -*- coding: utf-8 -*-
T = int(input())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is>
      </c>
      <c r="F23" s="28" t="b">
        <v>0</v>
      </c>
      <c r="G23" s="28" t="n">
        <v>8</v>
      </c>
      <c r="H23" s="28" t="inlineStr">
        <is>
          <t>Sintaxe</t>
        </is>
      </c>
      <c r="I23" s="28" t="inlineStr">
        <is>
          <t>Seu código tem um erro de sintaxe que impede sua execução. Preste atenção nos parênteses.</t>
        </is>
      </c>
      <c r="J23" s="28" t="inlineStr">
        <is>
          <t>Tente executar seu código com a entrada do Caso 1 (tesoura papel). O que acontece? Você consegue identificar onde está o problema na linha do if?</t>
        </is>
      </c>
      <c r="K23" s="29" t="inlineStr">
        <is>
          <t>Nenhum (código correto)</t>
        </is>
      </c>
      <c r="L23" s="29" t="n"/>
      <c r="M23" s="29" t="inlineStr">
        <is>
          <t>Passou 4/4 casos de teste.</t>
        </is>
      </c>
      <c r="N23" s="26">
        <f>IF(AND(H23&lt;&gt;"",K23&lt;&gt;""),IF(H23=K23,1,0),"")</f>
        <v/>
      </c>
      <c r="O23" s="30" t="n"/>
      <c r="P23" s="30" t="n"/>
      <c r="Q23" s="30" t="n"/>
      <c r="R23" s="30" t="n"/>
      <c r="S23" s="30" t="n"/>
      <c r="T23" s="26" t="n"/>
    </row>
    <row r="24" ht="409.5" customHeight="1" s="1">
      <c r="A24" s="26" t="n">
        <v>1828</v>
      </c>
      <c r="B24" s="26" t="n">
        <v>2</v>
      </c>
      <c r="C24" s="26" t="n">
        <v>1</v>
      </c>
      <c r="D24" s="26" t="inlineStr">
        <is>
          <t>Runtime error</t>
        </is>
      </c>
      <c r="E24" s="27"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4" s="28" t="b">
        <v>0</v>
      </c>
      <c r="G24" s="28" t="n">
        <v>6</v>
      </c>
      <c r="H24" s="28" t="inlineStr">
        <is>
          <t>Sintaxe</t>
        </is>
      </c>
      <c r="I24" s="28" t="inlineStr">
        <is>
          <t>Parece que há um problema na indentação do bloco condicional. Vamos verificar se o código roda corretamente com uma entrada simples.</t>
        </is>
      </c>
      <c r="J24" s="28" t="inlineStr">
        <is>
          <t>Tente executar seu código com a entrada: 1\nSpock pedra. O que acontece? Você consegue identificar onde está o erro de indentação?</t>
        </is>
      </c>
      <c r="K24" s="29" t="inlineStr">
        <is>
          <t>Sintaxe</t>
        </is>
      </c>
      <c r="L24" s="29" t="n">
        <v>7</v>
      </c>
      <c r="M24" s="29" t="inlineStr">
        <is>
          <t>Indentação inconsistente (linha 7): IndentationError.</t>
        </is>
      </c>
      <c r="N24" s="26">
        <f>IF(AND(H24&lt;&gt;"",K24&lt;&gt;""),IF(H24=K24,1,0),"")</f>
        <v/>
      </c>
      <c r="O24" s="30" t="n"/>
      <c r="P24" s="30" t="n"/>
      <c r="Q24" s="30" t="n"/>
      <c r="R24" s="30" t="n"/>
      <c r="S24" s="30" t="n"/>
      <c r="T24" s="26" t="n"/>
    </row>
    <row r="25" ht="409.5" customHeight="1" s="1">
      <c r="A25" s="26" t="n">
        <v>1828</v>
      </c>
      <c r="B25" s="26" t="n">
        <v>2</v>
      </c>
      <c r="C25" s="26" t="n">
        <v>2</v>
      </c>
      <c r="D25" s="26" t="inlineStr">
        <is>
          <t>Wrong answer (100%)</t>
        </is>
      </c>
      <c r="E25" s="27"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5" s="28" t="b">
        <v>0</v>
      </c>
      <c r="G25" s="28" t="n">
        <v>6</v>
      </c>
      <c r="H25" s="28" t="inlineStr">
        <is>
          <t>Sintaxe</t>
        </is>
      </c>
      <c r="I25" s="28" t="inlineStr">
        <is>
          <t>Parece que seu código tem um problema com a indentação do bloco de código dentro do laço.</t>
        </is>
      </c>
      <c r="J25" s="28" t="inlineStr">
        <is>
          <t>Simule o comportamento do seu código no papel para a entrada: 2, tesoura papel e depois pedra Spock. Quantas vezes o laço executa? O que acontece com as variáveis escolha_sheldon e escolha_raj após cada iteração?</t>
        </is>
      </c>
      <c r="K25" s="29" t="inlineStr">
        <is>
          <t>Lógica</t>
        </is>
      </c>
      <c r="L25" s="29" t="n">
        <v>7</v>
      </c>
      <c r="M25" s="29" t="inlineStr">
        <is>
          <t>print fora do for: só imprime o último caso.</t>
        </is>
      </c>
      <c r="N25" s="26">
        <f>IF(AND(H25&lt;&gt;"",K25&lt;&gt;""),IF(H25=K25,1,0),"")</f>
        <v/>
      </c>
      <c r="O25" s="30" t="n"/>
      <c r="P25" s="30" t="n"/>
      <c r="Q25" s="30" t="n"/>
      <c r="R25" s="30" t="n"/>
      <c r="S25" s="30" t="n"/>
      <c r="T25" s="26" t="n"/>
    </row>
    <row r="26" ht="409.5" customHeight="1" s="1">
      <c r="A26" s="26" t="n">
        <v>1828</v>
      </c>
      <c r="B26" s="26" t="n">
        <v>2</v>
      </c>
      <c r="C26" s="26" t="n">
        <v>3</v>
      </c>
      <c r="D26" s="26" t="inlineStr">
        <is>
          <t>Accepted</t>
        </is>
      </c>
      <c r="E26" s="27" t="inlineStr">
        <is>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is>
      </c>
      <c r="F26" s="28" t="b">
        <v>0</v>
      </c>
      <c r="G26" s="28" t="n">
        <v>10</v>
      </c>
      <c r="H26" s="28" t="inlineStr">
        <is>
          <t>Lógica</t>
        </is>
      </c>
      <c r="I26" s="28" t="inlineStr">
        <is>
          <t>Parece que algumas regras de vitória não foram consideradas completamente.</t>
        </is>
      </c>
      <c r="J26" s="28" t="inlineStr">
        <is>
          <t>Teste seu código mentalmente com a entrada 'tesoura lagarto'. O que ele imprime? Será que essa é uma jogada válida onde Sheldon vence?</t>
        </is>
      </c>
      <c r="K26" s="29" t="inlineStr">
        <is>
          <t>Nenhum (código correto)</t>
        </is>
      </c>
      <c r="L26" s="29" t="n"/>
      <c r="M26" s="29" t="inlineStr">
        <is>
          <t>Passou 4/4 casos de teste.</t>
        </is>
      </c>
      <c r="N26" s="26">
        <f>IF(AND(H26&lt;&gt;"",K26&lt;&gt;""),IF(H26=K26,1,0),"")</f>
        <v/>
      </c>
      <c r="O26" s="30" t="n"/>
      <c r="P26" s="30" t="n"/>
      <c r="Q26" s="30" t="n"/>
      <c r="R26" s="30" t="n"/>
      <c r="S26" s="30" t="n"/>
      <c r="T26" s="26" t="n"/>
    </row>
    <row r="27" ht="242.25" customHeight="1" s="1">
      <c r="A27" s="26" t="n">
        <v>1828</v>
      </c>
      <c r="B27" s="26" t="n">
        <v>3</v>
      </c>
      <c r="C27" s="26" t="n">
        <v>1</v>
      </c>
      <c r="D27" s="26" t="inlineStr">
        <is>
          <t>Accepted</t>
        </is>
      </c>
      <c r="E27" s="27" t="inlineStr">
        <is>
          <t>def vence(sheldon, rajesh):
    regras = {
        'tesoura': ['papel', 'lagarto'],
        'papel': ['pedra', 'Spock'],
        'pedra': ['lagarto', 'tesoura'],
        'lagarto': ['Spock', 'papel'],
        'Spock': ['tesoura', 'pedra']
    }
    if sheldon == rajesh:
        return 'De novo!'
    elif rajesh in regras[sheldon]:
        return 'Bazinga!'
    else:
        return 'Raj trapaceou!'
T = int(input())
for caso in range(1, T+1):
    sheldon, rajesh = input().split()
    resultado = vence(sheldon, rajesh)
    print('Caso #{}: {}'.format(caso, resultado))</t>
        </is>
      </c>
      <c r="F27" s="28" t="b">
        <v>1</v>
      </c>
      <c r="G27" s="28" t="inlineStr">
        <is>
          <t>-</t>
        </is>
      </c>
      <c r="H27" s="28" t="inlineStr">
        <is>
          <t>Nenhum (código correto)</t>
        </is>
      </c>
      <c r="I27" s="28" t="inlineStr">
        <is>
          <t>Seu código está rodando corretamente para todos os casos testados!</t>
        </is>
      </c>
      <c r="J27" s="28" t="inlineStr">
        <is>
          <t>Teste seu código com a entrada 'Spock Spock'. O que ele imprime? Compare isso com o comportamento esperado.</t>
        </is>
      </c>
      <c r="K27" s="29" t="inlineStr">
        <is>
          <t>Nenhum (código correto)</t>
        </is>
      </c>
      <c r="L27" s="29" t="n"/>
      <c r="M27" s="29" t="inlineStr">
        <is>
          <t>Passou 4/4 casos de teste.</t>
        </is>
      </c>
      <c r="N27" s="26">
        <f>IF(AND(H27&lt;&gt;"",K27&lt;&gt;""),IF(H27=K27,1,0),"")</f>
        <v/>
      </c>
      <c r="O27" s="30" t="n"/>
      <c r="P27" s="30" t="n"/>
      <c r="Q27" s="30" t="n"/>
      <c r="R27" s="30" t="n"/>
      <c r="S27" s="30" t="n"/>
      <c r="T27" s="26" t="n"/>
    </row>
    <row r="28" ht="267.75" customHeight="1" s="1">
      <c r="A28" s="26" t="n">
        <v>1873</v>
      </c>
      <c r="B28" s="26" t="n">
        <v>1</v>
      </c>
      <c r="C28" s="26" t="n">
        <v>1</v>
      </c>
      <c r="D28" s="26" t="inlineStr">
        <is>
          <t>Runtime error</t>
        </is>
      </c>
      <c r="E28" s="27"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is>
      </c>
      <c r="F28" s="28" t="b">
        <v>0</v>
      </c>
      <c r="G28" s="28" t="n">
        <v>10</v>
      </c>
      <c r="H28" s="28" t="inlineStr">
        <is>
          <t>Sintaxe</t>
        </is>
      </c>
      <c r="I28" s="28" t="inlineStr">
        <is>
          <t>Você tem um erro na estrutura da condição. Preste atenção em como os parênteses e a indentação estão organizados.</t>
        </is>
      </c>
      <c r="J28" s="28" t="inlineStr">
        <is>
          <t>Simule seu código mentalmente com a entrada 'pedra tesoura'. Ele entra no bloco que imprime 'sheldon'? Por quê?</t>
        </is>
      </c>
      <c r="K28" s="29" t="inlineStr">
        <is>
          <t>Sintaxe</t>
        </is>
      </c>
      <c r="L28" s="29" t="n">
        <v>13</v>
      </c>
      <c r="M28" s="29" t="inlineStr">
        <is>
          <t>Falta ':' no final do elif (linha 13).</t>
        </is>
      </c>
      <c r="N28" s="26">
        <f>IF(AND(H28&lt;&gt;"",K28&lt;&gt;""),IF(H28=K28,1,0),"")</f>
        <v/>
      </c>
      <c r="O28" s="30" t="n"/>
      <c r="P28" s="30" t="n"/>
      <c r="Q28" s="30" t="n"/>
      <c r="R28" s="30" t="n"/>
      <c r="S28" s="30" t="n"/>
      <c r="T28" s="26" t="n"/>
    </row>
    <row r="29" ht="267.75" customHeight="1" s="1">
      <c r="A29" s="26" t="n">
        <v>1873</v>
      </c>
      <c r="B29" s="26" t="n">
        <v>1</v>
      </c>
      <c r="C29" s="26" t="n">
        <v>2</v>
      </c>
      <c r="D29" s="26" t="inlineStr">
        <is>
          <t>Wrong answer (25%)</t>
        </is>
      </c>
      <c r="E29" s="27"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is>
      </c>
      <c r="F29" s="28" t="b">
        <v>0</v>
      </c>
      <c r="G29" s="28" t="n">
        <v>10</v>
      </c>
      <c r="H29" s="28" t="inlineStr">
        <is>
          <t>Lógica</t>
        </is>
      </c>
      <c r="I29" s="28" t="inlineStr">
        <is>
          <t>Seu código está com a lógica de vitória invertida.</t>
        </is>
      </c>
      <c r="J29" s="28" t="inlineStr">
        <is>
          <t>Simule seu código no papel com a entrada 'pedra tesoura'. O que ele imprime? A regra do jogo diz que pedra esmaga tesoura — quem vence?</t>
        </is>
      </c>
      <c r="K29" s="29" t="inlineStr">
        <is>
          <t>Lógica</t>
        </is>
      </c>
      <c r="L29" s="29" t="n">
        <v>6</v>
      </c>
      <c r="M29" s="29" t="inlineStr">
        <is>
          <t>Ordem de leitura trocada: inverte rajesh/sheldon.</t>
        </is>
      </c>
      <c r="N29" s="26">
        <f>IF(AND(H29&lt;&gt;"",K29&lt;&gt;""),IF(H29=K29,1,0),"")</f>
        <v/>
      </c>
      <c r="O29" s="30" t="n"/>
      <c r="P29" s="30" t="n"/>
      <c r="Q29" s="30" t="n"/>
      <c r="R29" s="30" t="n"/>
      <c r="S29" s="30" t="n"/>
      <c r="T29" s="26" t="n"/>
    </row>
    <row r="30" ht="382.5" customHeight="1" s="1">
      <c r="A30" s="26" t="n">
        <v>1873</v>
      </c>
      <c r="B30" s="26" t="n">
        <v>1</v>
      </c>
      <c r="C30" s="26" t="n">
        <v>3</v>
      </c>
      <c r="D30" s="26" t="inlineStr">
        <is>
          <t>Wrong answer (25%)</t>
        </is>
      </c>
      <c r="E30" s="27"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print('sheldon')</t>
        </is>
      </c>
      <c r="F30" s="28" t="b">
        <v>0</v>
      </c>
      <c r="G30" s="28" t="n">
        <v>14</v>
      </c>
      <c r="H30" s="28" t="inlineStr">
        <is>
          <t>Sintaxe</t>
        </is>
      </c>
      <c r="I30" s="28" t="inlineStr">
        <is>
          <t>Seu código apresenta um erro de sintaxe. Talvez tenha esquecido algum parêntese ou vírgula.</t>
        </is>
      </c>
      <c r="J30" s="28" t="inlineStr">
        <is>
          <t>Tente executar seu código com a entrada '1\npedra papel'. Ele vai falhar? Por quê?</t>
        </is>
      </c>
      <c r="K30" s="29" t="inlineStr">
        <is>
          <t>Lógica</t>
        </is>
      </c>
      <c r="L30" s="29" t="n">
        <v>20</v>
      </c>
      <c r="M30" s="29" t="inlineStr">
        <is>
          <t>Imprime o nome errado no segundo elif (copia-e-cola).</t>
        </is>
      </c>
      <c r="N30" s="26">
        <f>IF(AND(H30&lt;&gt;"",K30&lt;&gt;""),IF(H30=K30,1,0),"")</f>
        <v/>
      </c>
      <c r="O30" s="30" t="n"/>
      <c r="P30" s="30" t="n"/>
      <c r="Q30" s="30" t="n"/>
      <c r="R30" s="30" t="n"/>
      <c r="S30" s="30" t="n"/>
      <c r="T30" s="26" t="n"/>
    </row>
    <row r="31" ht="382.5" customHeight="1" s="1">
      <c r="A31" s="26" t="n">
        <v>1873</v>
      </c>
      <c r="B31" s="26" t="n">
        <v>1</v>
      </c>
      <c r="C31" s="26" t="n">
        <v>4</v>
      </c>
      <c r="D31" s="26" t="inlineStr">
        <is>
          <t>Wrong answer (25%)</t>
        </is>
      </c>
      <c r="E31" s="27" t="inlineStr">
        <is>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print('rajesh')</t>
        </is>
      </c>
      <c r="F31" s="28" t="b">
        <v>0</v>
      </c>
      <c r="G31" s="28" t="n">
        <v>15</v>
      </c>
      <c r="H31" s="28" t="inlineStr">
        <is>
          <t>Sintaxe</t>
        </is>
      </c>
      <c r="I31" s="28" t="inlineStr">
        <is>
          <t>Parece que há um problema com a estrutura das condições lógicas. Tente verificar se todos os parênteses estão fechados corretamente.</t>
        </is>
      </c>
      <c r="J31" s="28" t="inlineStr">
        <is>
          <t>Tente executar o código com a entrada: '1\npedra papel'. O que acontece? Preste atenção na forma como as expressões condicionais são escritas e se há algum parêntese faltando.</t>
        </is>
      </c>
      <c r="K31" s="29" t="inlineStr">
        <is>
          <t>Lógica</t>
        </is>
      </c>
      <c r="L31" s="29" t="n">
        <v>6</v>
      </c>
      <c r="M31" s="29" t="inlineStr">
        <is>
          <t>Ordem de leitura trocada entre os jogadores.</t>
        </is>
      </c>
      <c r="N31" s="26">
        <f>IF(AND(H31&lt;&gt;"",K31&lt;&gt;""),IF(H31=K31,1,0),"")</f>
        <v/>
      </c>
      <c r="O31" s="30" t="n"/>
      <c r="P31" s="30" t="n"/>
      <c r="Q31" s="30" t="n"/>
      <c r="R31" s="30" t="n"/>
      <c r="S31" s="30" t="n"/>
      <c r="T31" s="26" t="n"/>
    </row>
    <row r="32" ht="318.75" customHeight="1" s="1">
      <c r="A32" s="26" t="n">
        <v>1873</v>
      </c>
      <c r="B32" s="26" t="n">
        <v>1</v>
      </c>
      <c r="C32" s="26" t="n">
        <v>5</v>
      </c>
      <c r="D32" s="26" t="inlineStr">
        <is>
          <t>Runtime error</t>
        </is>
      </c>
      <c r="E32" s="27" t="inlineStr">
        <is>
          <t># -*- coding: utf-8 -*-
C = int(input())
for c in range(C):
  rajesh = str(input())
  sheldon = str(input())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2" s="28" t="b">
        <v>0</v>
      </c>
      <c r="G32" s="28" t="n">
        <v>12</v>
      </c>
      <c r="H32" s="28" t="inlineStr">
        <is>
          <t>Sintaxe</t>
        </is>
      </c>
      <c r="I32" s="28" t="inlineStr">
        <is>
          <t>Seu código apresenta um erro de sintaxe que impede sua execução. Preste atenção na estrutura das condições.</t>
        </is>
      </c>
      <c r="J32" s="28" t="inlineStr">
        <is>
          <t>Tente executar seu código no Python e veja qual mensagem de erro é exibida. O problema está relacionado a uma falta de parêntese em uma das linhas condicionais.</t>
        </is>
      </c>
      <c r="K32" s="29" t="inlineStr">
        <is>
          <t>Execução</t>
        </is>
      </c>
      <c r="L32" s="29" t="n">
        <v>6</v>
      </c>
      <c r="M32" s="29" t="inlineStr">
        <is>
          <t>Duas chamadas input() separadas: consome as linhas na ordem errada -&gt; EOFError.</t>
        </is>
      </c>
      <c r="N32" s="26">
        <f>IF(AND(H32&lt;&gt;"",K32&lt;&gt;""),IF(H32=K32,1,0),"")</f>
        <v/>
      </c>
      <c r="O32" s="30" t="n"/>
      <c r="P32" s="30" t="n"/>
      <c r="Q32" s="30" t="n"/>
      <c r="R32" s="30" t="n"/>
      <c r="S32" s="30" t="n"/>
      <c r="T32" s="26" t="n"/>
    </row>
    <row r="33" ht="306" customHeight="1" s="1">
      <c r="A33" s="26" t="n">
        <v>1873</v>
      </c>
      <c r="B33" s="26" t="n">
        <v>1</v>
      </c>
      <c r="C33" s="26" t="n">
        <v>6</v>
      </c>
      <c r="D33" s="26" t="inlineStr">
        <is>
          <t>Runtime error</t>
        </is>
      </c>
      <c r="E33" s="27"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3" s="28" t="b">
        <v>0</v>
      </c>
      <c r="G33" s="28" t="n">
        <v>8</v>
      </c>
      <c r="H33" s="28" t="inlineStr">
        <is>
          <t>Sintaxe</t>
        </is>
      </c>
      <c r="I33" s="28" t="inlineStr">
        <is>
          <t>Parece que há um erro de sintaxe no código. Talvez tenha faltado algum caractere na construção das condições.</t>
        </is>
      </c>
      <c r="J33" s="28" t="inlineStr">
        <is>
          <t>Tente executar seu programa com a entrada '1\npedra papel'. O que acontece?</t>
        </is>
      </c>
      <c r="K33" s="29" t="inlineStr">
        <is>
          <t>Sintaxe</t>
        </is>
      </c>
      <c r="L33" s="29" t="n">
        <v>6</v>
      </c>
      <c r="M33" s="29" t="inlineStr">
        <is>
          <t>Parêntese aberto e não fechado em map() (linha 6).</t>
        </is>
      </c>
      <c r="N33" s="26">
        <f>IF(AND(H33&lt;&gt;"",K33&lt;&gt;""),IF(H33=K33,1,0),"")</f>
        <v/>
      </c>
      <c r="O33" s="30" t="n"/>
      <c r="P33" s="30" t="n"/>
      <c r="Q33" s="30" t="n"/>
      <c r="R33" s="30" t="n"/>
      <c r="S33" s="30" t="n"/>
      <c r="T33" s="26" t="n"/>
    </row>
    <row r="34" ht="306" customHeight="1" s="1">
      <c r="A34" s="26" t="n">
        <v>1873</v>
      </c>
      <c r="B34" s="26" t="n">
        <v>1</v>
      </c>
      <c r="C34" s="26" t="n">
        <v>7</v>
      </c>
      <c r="D34" s="26" t="inlineStr">
        <is>
          <t>Runtime error</t>
        </is>
      </c>
      <c r="E34" s="27"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4" s="28" t="b">
        <v>0</v>
      </c>
      <c r="G34" s="28" t="n">
        <v>5</v>
      </c>
      <c r="H34" s="28" t="inlineStr">
        <is>
          <t>Sintaxe</t>
        </is>
      </c>
      <c r="I34" s="28" t="inlineStr">
        <is>
          <t>Parece que há um problema na forma como você está lendo as entradas. Tente verificar se todos os parênteses estão fechados corretamente.</t>
        </is>
      </c>
      <c r="J34" s="28" t="inlineStr">
        <is>
          <t>Tente executar o programa com a entrada: '6\npedra tesoura'. O que acontece quando você tenta ler essa linha? Você consegue identificar onde está faltando um caractere?</t>
        </is>
      </c>
      <c r="K34" s="29" t="inlineStr">
        <is>
          <t>Sintaxe</t>
        </is>
      </c>
      <c r="L34" s="29" t="n">
        <v>6</v>
      </c>
      <c r="M34" s="29" t="inlineStr">
        <is>
          <t>Parêntese aberto e não fechado em map() (linha 6).</t>
        </is>
      </c>
      <c r="N34" s="26">
        <f>IF(AND(H34&lt;&gt;"",K34&lt;&gt;""),IF(H34=K34,1,0),"")</f>
        <v/>
      </c>
      <c r="O34" s="30" t="n"/>
      <c r="P34" s="30" t="n"/>
      <c r="Q34" s="30" t="n"/>
      <c r="R34" s="30" t="n"/>
      <c r="S34" s="30" t="n"/>
      <c r="T34" s="26" t="n"/>
    </row>
    <row r="35" ht="306" customHeight="1" s="1">
      <c r="A35" s="26" t="n">
        <v>1873</v>
      </c>
      <c r="B35" s="26" t="n">
        <v>1</v>
      </c>
      <c r="C35" s="26" t="n">
        <v>8</v>
      </c>
      <c r="D35" s="26" t="inlineStr">
        <is>
          <t>Accepted</t>
        </is>
      </c>
      <c r="E35" s="27" t="inlineStr">
        <is>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is>
      </c>
      <c r="F35" s="28" t="b">
        <v>0</v>
      </c>
      <c r="G35" s="28" t="n">
        <v>10</v>
      </c>
      <c r="H35" s="28" t="inlineStr">
        <is>
          <t>Lógica</t>
        </is>
      </c>
      <c r="I35" s="28" t="inlineStr">
        <is>
          <t>Seu código tem uma lógica de vitória que pode estar invertida ou incompleta. Tente verificar com mais atenção como cada jogada vence a outra.</t>
        </is>
      </c>
      <c r="J35" s="28" t="inlineStr">
        <is>
          <t>Simule seu código no papel com as entradas 'lagarto spock' e 'tesoura pedra'. Quantas vezes o laço executa? E qual saída ele imprime para cada uma?</t>
        </is>
      </c>
      <c r="K35" s="29" t="inlineStr">
        <is>
          <t>Nenhum (código correto)</t>
        </is>
      </c>
      <c r="L35" s="29" t="n"/>
      <c r="M35" s="29" t="inlineStr">
        <is>
          <t>Passou 4/4 casos de teste.</t>
        </is>
      </c>
      <c r="N35" s="26">
        <f>IF(AND(H35&lt;&gt;"",K35&lt;&gt;""),IF(H35=K35,1,0),"")</f>
        <v/>
      </c>
      <c r="O35" s="30" t="n"/>
      <c r="P35" s="30" t="n"/>
      <c r="Q35" s="30" t="n"/>
      <c r="R35" s="30" t="n"/>
      <c r="S35" s="30" t="n"/>
      <c r="T35" s="26" t="n"/>
    </row>
    <row r="36" ht="318.75" customHeight="1" s="1">
      <c r="A36" s="26" t="n">
        <v>1873</v>
      </c>
      <c r="B36" s="26" t="n">
        <v>2</v>
      </c>
      <c r="C36" s="26" t="n">
        <v>1</v>
      </c>
      <c r="D36" s="26" t="inlineStr">
        <is>
          <t>Runtime error</t>
        </is>
      </c>
      <c r="E36" s="27" t="inlineStr">
        <is>
          <t>C = int(input())
regras = {
    "tesoura": ["papel", "lagarto"],
    "papel": ["pedra", "Spock"],
    "pedra": ["lagarto", "tesoura"],
    "lagarto": ["Spock", "papel"],
    "Spock": ["tesoura", "pedra"]
}
de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36" s="28" t="b">
        <v>0</v>
      </c>
      <c r="G36" s="28" t="n">
        <v>10</v>
      </c>
      <c r="H36" s="28" t="inlineStr">
        <is>
          <t>Sintaxe</t>
        </is>
      </c>
      <c r="I36" s="28" t="inlineStr">
        <is>
          <t>Parece que há um erro de sintaxe no código. Preste atenção na forma como você declarou a função.</t>
        </is>
      </c>
      <c r="J36" s="28" t="inlineStr">
        <is>
          <t>Simule seu código com a entrada 'pedra tesoura' e veja se ele roda corretamente. O que acontece quando você tenta executar o programa?</t>
        </is>
      </c>
      <c r="K36" s="29" t="inlineStr">
        <is>
          <t>Sintaxe</t>
        </is>
      </c>
      <c r="L36" s="29" t="n">
        <v>11</v>
      </c>
      <c r="M36" s="29" t="inlineStr">
        <is>
          <t>'de' em vez de 'def' (linha 11): SyntaxError.</t>
        </is>
      </c>
      <c r="N36" s="26">
        <f>IF(AND(H36&lt;&gt;"",K36&lt;&gt;""),IF(H36=K36,1,0),"")</f>
        <v/>
      </c>
      <c r="O36" s="30" t="n"/>
      <c r="P36" s="30" t="n"/>
      <c r="Q36" s="30" t="n"/>
      <c r="R36" s="30" t="n"/>
      <c r="S36" s="30" t="n"/>
      <c r="T36" s="26" t="n"/>
    </row>
    <row r="37" ht="318.75" customHeight="1" s="1">
      <c r="A37" s="26" t="n">
        <v>1873</v>
      </c>
      <c r="B37" s="26" t="n">
        <v>2</v>
      </c>
      <c r="C37" s="26" t="n">
        <v>2</v>
      </c>
      <c r="D37" s="26" t="inlineStr">
        <is>
          <t>Runtime error</t>
        </is>
      </c>
      <c r="E37"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prit(resultado)</t>
        </is>
      </c>
      <c r="F37" s="28" t="b">
        <v>0</v>
      </c>
      <c r="G37" s="28" t="n">
        <v>15</v>
      </c>
      <c r="H37" s="28" t="inlineStr">
        <is>
          <t>Sintaxe</t>
        </is>
      </c>
      <c r="I37" s="28" t="inlineStr">
        <is>
          <t>Parece que há um pequeno erro de digitação na hora de imprimir o resultado.</t>
        </is>
      </c>
      <c r="J37" s="28" t="inlineStr">
        <is>
          <t>Simule seu código no papel com a entrada 'pedra tesoura'. O que ele imprime? Você consegue ver qual parte do código está errada?</t>
        </is>
      </c>
      <c r="K37" s="29" t="inlineStr">
        <is>
          <t>Execução</t>
        </is>
      </c>
      <c r="L37" s="29" t="n">
        <v>24</v>
      </c>
      <c r="M37" s="29" t="inlineStr">
        <is>
          <t>'prit' em vez de 'print' (linha 24): NameError.</t>
        </is>
      </c>
      <c r="N37" s="26">
        <f>IF(AND(H37&lt;&gt;"",K37&lt;&gt;""),IF(H37=K37,1,0),"")</f>
        <v/>
      </c>
      <c r="O37" s="30" t="n"/>
      <c r="P37" s="30" t="n"/>
      <c r="Q37" s="30" t="n"/>
      <c r="R37" s="30" t="n"/>
      <c r="S37" s="30" t="n"/>
      <c r="T37" s="26" t="n"/>
    </row>
    <row r="38" ht="318.75" customHeight="1" s="1">
      <c r="A38" s="26" t="n">
        <v>1873</v>
      </c>
      <c r="B38" s="26" t="n">
        <v>2</v>
      </c>
      <c r="C38" s="26" t="n">
        <v>3</v>
      </c>
      <c r="D38" s="26" t="inlineStr">
        <is>
          <t>Wrong answer (10%)</t>
        </is>
      </c>
      <c r="E38"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38" s="28" t="b">
        <v>0</v>
      </c>
      <c r="G38" s="28" t="n">
        <v>14</v>
      </c>
      <c r="H38" s="28" t="inlineStr">
        <is>
          <t>Lógica</t>
        </is>
      </c>
      <c r="I38" s="28" t="inlineStr">
        <is>
          <t>Seu código tem um problema na lógica de determinação do vencedor.</t>
        </is>
      </c>
      <c r="J38" s="28" t="inlineStr">
        <is>
          <t>Simule seu código no papel com a entrada 'tesoura spock'. O que ele retorna como resultado? E o que deveria ser o resultado correto?</t>
        </is>
      </c>
      <c r="K38" s="29" t="inlineStr">
        <is>
          <t>Execução</t>
        </is>
      </c>
      <c r="L38" s="29" t="n">
        <v>14</v>
      </c>
      <c r="M38" s="29" t="inlineStr">
        <is>
          <t>Chave 'Spock' (maiúscula) no dicionário não bate com 'spock' da entrada -&gt; KeyError.</t>
        </is>
      </c>
      <c r="N38" s="26">
        <f>IF(AND(H38&lt;&gt;"",K38&lt;&gt;""),IF(H38=K38,1,0),"")</f>
        <v/>
      </c>
      <c r="O38" s="30" t="n"/>
      <c r="P38" s="30" t="n"/>
      <c r="Q38" s="30" t="n"/>
      <c r="R38" s="30" t="n"/>
      <c r="S38" s="30" t="n"/>
      <c r="T38" s="26" t="n"/>
    </row>
    <row r="39" ht="318.75" customHeight="1" s="1">
      <c r="A39" s="26" t="n">
        <v>1873</v>
      </c>
      <c r="B39" s="26" t="n">
        <v>2</v>
      </c>
      <c r="C39" s="26" t="n">
        <v>4</v>
      </c>
      <c r="D39" s="26" t="inlineStr">
        <is>
          <t>Wrong answer (10%)</t>
        </is>
      </c>
      <c r="E39"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is>
      </c>
      <c r="F39" s="28" t="b">
        <v>0</v>
      </c>
      <c r="G39" s="28" t="n">
        <v>13</v>
      </c>
      <c r="H39" s="28" t="inlineStr">
        <is>
          <t>Lógica</t>
        </is>
      </c>
      <c r="I39" s="28" t="inlineStr">
        <is>
          <t>Parece que há uma confusão na lógica de verificação do vencedor. Tente simular com um caso simples para perceber onde o erro ocorre.</t>
        </is>
      </c>
      <c r="J39" s="28" t="inlineStr">
        <is>
          <t>Simule seu código no papel com a entrada 'tesoura pedra'. O que ele retorna? E qual deveria ser o resultado correto?</t>
        </is>
      </c>
      <c r="K39" s="29" t="inlineStr">
        <is>
          <t>Execução</t>
        </is>
      </c>
      <c r="L39" s="29" t="n">
        <v>14</v>
      </c>
      <c r="M39" s="29" t="inlineStr">
        <is>
          <t>Mesmo KeyError de capitalização de 'spock' no dicionário.</t>
        </is>
      </c>
      <c r="N39" s="26">
        <f>IF(AND(H39&lt;&gt;"",K39&lt;&gt;""),IF(H39=K39,1,0),"")</f>
        <v/>
      </c>
      <c r="O39" s="30" t="n"/>
      <c r="P39" s="30" t="n"/>
      <c r="Q39" s="30" t="n"/>
      <c r="R39" s="30" t="n"/>
      <c r="S39" s="30" t="n"/>
      <c r="T39" s="26" t="n"/>
    </row>
    <row r="40" ht="318.75" customHeight="1" s="1">
      <c r="A40" s="26" t="n">
        <v>1873</v>
      </c>
      <c r="B40" s="26" t="n">
        <v>2</v>
      </c>
      <c r="C40" s="26" t="n">
        <v>5</v>
      </c>
      <c r="D40" s="26" t="inlineStr">
        <is>
          <t>Wrong answer (10%)</t>
        </is>
      </c>
      <c r="E40"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0" s="28" t="b">
        <v>0</v>
      </c>
      <c r="G40" s="28" t="n">
        <v>10</v>
      </c>
      <c r="H40" s="28" t="inlineStr">
        <is>
          <t>Lógica</t>
        </is>
      </c>
      <c r="I40" s="28" t="inlineStr">
        <is>
          <t>Parece que há uma inconsistência entre o formato das palavras usadas no dicionário e as entradas do programa.</t>
        </is>
      </c>
      <c r="J40" s="28" t="inlineStr">
        <is>
          <t>Simule seu código com a entrada 'spock spock'. O que acontece quando você tenta acessar regras['spock']? E qual é a chave correta dentro do dicionário?</t>
        </is>
      </c>
      <c r="K40" s="29" t="inlineStr">
        <is>
          <t>Execução</t>
        </is>
      </c>
      <c r="L40" s="29" t="n">
        <v>14</v>
      </c>
      <c r="M40" s="29" t="inlineStr">
        <is>
          <t>Mesmo KeyError de capitalização de 'spock' no dicionário.</t>
        </is>
      </c>
      <c r="N40" s="26">
        <f>IF(AND(H40&lt;&gt;"",K40&lt;&gt;""),IF(H40=K40,1,0),"")</f>
        <v/>
      </c>
      <c r="O40" s="30" t="n"/>
      <c r="P40" s="30" t="n"/>
      <c r="Q40" s="30" t="n"/>
      <c r="R40" s="30" t="n"/>
      <c r="S40" s="30" t="n"/>
      <c r="T40" s="26" t="n"/>
    </row>
    <row r="41" ht="318.75" customHeight="1" s="1">
      <c r="A41" s="26" t="n">
        <v>1873</v>
      </c>
      <c r="B41" s="26" t="n">
        <v>2</v>
      </c>
      <c r="C41" s="26" t="n">
        <v>6</v>
      </c>
      <c r="D41" s="26" t="inlineStr">
        <is>
          <t>Wrong answer (10%)</t>
        </is>
      </c>
      <c r="E41"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is>
      </c>
      <c r="F41" s="28" t="b">
        <v>0</v>
      </c>
      <c r="G41" s="28" t="n">
        <v>14</v>
      </c>
      <c r="H41" s="28" t="inlineStr">
        <is>
          <t>Lógica</t>
        </is>
      </c>
      <c r="I41" s="28" t="inlineStr">
        <is>
          <t>Há um problema na forma como você está comparando as escolhas. Tente pensar se a lógica do dicionário está sendo usada corretamente em todos os casos.</t>
        </is>
      </c>
      <c r="J41" s="28" t="inlineStr">
        <is>
          <t>Simule seu código mentalmente com a entrada 'pedra tesoura'. O que ele retorna? E o que deveria retornar?</t>
        </is>
      </c>
      <c r="K41" s="29" t="inlineStr">
        <is>
          <t>Execução</t>
        </is>
      </c>
      <c r="L41" s="29" t="n">
        <v>14</v>
      </c>
      <c r="M41" s="29" t="inlineStr">
        <is>
          <t>Mesmo KeyError de capitalização de 'spock' no dicionário.</t>
        </is>
      </c>
      <c r="N41" s="26">
        <f>IF(AND(H41&lt;&gt;"",K41&lt;&gt;""),IF(H41=K41,1,0),"")</f>
        <v/>
      </c>
      <c r="O41" s="30" t="n"/>
      <c r="P41" s="30" t="n"/>
      <c r="Q41" s="30" t="n"/>
      <c r="R41" s="30" t="n"/>
      <c r="S41" s="30" t="n"/>
      <c r="T41" s="26" t="n"/>
    </row>
    <row r="42" ht="318.75" customHeight="1" s="1">
      <c r="A42" s="26" t="n">
        <v>1873</v>
      </c>
      <c r="B42" s="26" t="n">
        <v>2</v>
      </c>
      <c r="C42" s="26" t="n">
        <v>7</v>
      </c>
      <c r="D42" s="26" t="inlineStr">
        <is>
          <t>Wrong answer (10%)</t>
        </is>
      </c>
      <c r="E42"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2" s="28" t="b">
        <v>0</v>
      </c>
      <c r="G42" s="28" t="n">
        <v>14</v>
      </c>
      <c r="H42" s="28" t="inlineStr">
        <is>
          <t>Lógica</t>
        </is>
      </c>
      <c r="I42" s="28" t="inlineStr">
        <is>
          <t>Seu código tem um problema na lógica de comparação entre as escolhas. Tente simular com entradas específicas para perceber onde a regra não está sendo aplicada corretamente.</t>
        </is>
      </c>
      <c r="J42" s="28" t="inlineStr">
        <is>
          <t>Simule seu código no papel com a entrada 'tesoura spock'. Qual resultado ele produz? E o que você espera que seja?</t>
        </is>
      </c>
      <c r="K42" s="29" t="inlineStr">
        <is>
          <t>Execução</t>
        </is>
      </c>
      <c r="L42" s="29" t="n">
        <v>14</v>
      </c>
      <c r="M42" s="29" t="inlineStr">
        <is>
          <t>Mesmo KeyError de capitalização de 'spock' no dicionário.</t>
        </is>
      </c>
      <c r="N42" s="26">
        <f>IF(AND(H42&lt;&gt;"",K42&lt;&gt;""),IF(H42=K42,1,0),"")</f>
        <v/>
      </c>
      <c r="O42" s="30" t="n"/>
      <c r="P42" s="30" t="n"/>
      <c r="Q42" s="30" t="n"/>
      <c r="R42" s="30" t="n"/>
      <c r="S42" s="30" t="n"/>
      <c r="T42" s="26" t="n"/>
    </row>
    <row r="43" ht="318.75" customHeight="1" s="1">
      <c r="A43" s="26" t="n">
        <v>1873</v>
      </c>
      <c r="B43" s="26" t="n">
        <v>2</v>
      </c>
      <c r="C43" s="26" t="n">
        <v>8</v>
      </c>
      <c r="D43" s="26" t="inlineStr">
        <is>
          <t>Accepted</t>
        </is>
      </c>
      <c r="E43" s="27" t="inlineStr">
        <is>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is>
      </c>
      <c r="F43" s="28" t="b">
        <v>0</v>
      </c>
      <c r="G43" s="28" t="n">
        <v>10</v>
      </c>
      <c r="H43" s="28" t="inlineStr">
        <is>
          <t>Sintaxe</t>
        </is>
      </c>
      <c r="I43" s="28" t="inlineStr">
        <is>
          <t>Parece haver um problema com a forma como as chaves estão definidas no dicionário de regras.</t>
        </is>
      </c>
      <c r="J43" s="28" t="inlineStr">
        <is>
          <t>Simule seu código mentalmente com a entrada 'spock tesoura'. O que acontece quando você tenta acessar o dicionário com a chave 'spock'?</t>
        </is>
      </c>
      <c r="K43" s="29" t="inlineStr">
        <is>
          <t>Execução</t>
        </is>
      </c>
      <c r="L43" s="29" t="n">
        <v>14</v>
      </c>
      <c r="M43" s="29" t="inlineStr">
        <is>
          <t>Chave 'Spock' (maiúscula, linha 8) não bate com 'spock' da entrada -&gt; KeyError. BeeCrowd deu Accepted mas o código quebra: bug real não coberto pelo juiz.</t>
        </is>
      </c>
      <c r="N43" s="26">
        <f>IF(AND(H43&lt;&gt;"",K43&lt;&gt;""),IF(H43=K43,1,0),"")</f>
        <v/>
      </c>
      <c r="O43" s="30" t="n"/>
      <c r="P43" s="30" t="n"/>
      <c r="Q43" s="30" t="n"/>
      <c r="R43" s="30" t="n"/>
      <c r="S43" s="30" t="n"/>
      <c r="T43" s="26" t="n"/>
    </row>
    <row r="44" ht="242.25" customHeight="1" s="1">
      <c r="A44" s="26" t="n">
        <v>1873</v>
      </c>
      <c r="B44" s="26" t="n">
        <v>3</v>
      </c>
      <c r="C44" s="26" t="n">
        <v>1</v>
      </c>
      <c r="D44" s="26" t="inlineStr">
        <is>
          <t>Accepted</t>
        </is>
      </c>
      <c r="E44" s="27" t="inlineStr">
        <is>
          <t>def vence(rajesh, sheldon):
    regras = {
        'tesoura': ['papel', 'lagarto'],
        'papel': ['pedra', 'spock'],
        'pedra': ['lagarto', 'tesoura'],
        'lagarto': ['spock', 'papel'],
        'spock': ['tesoura', 'pedra']
    }
    if rajesh == sheldon:
        return "empate"
    elif sheldon in regras[rajesh]:
        return "rajesh"
    else:
        return "sheldon"
C = int(input())
for _ in range(C):
    rajesh, sheldon = input().split()
    resultado = vence(rajesh, sheldon)
    print(resultado)</t>
        </is>
      </c>
      <c r="F44" s="28" t="b">
        <v>0</v>
      </c>
      <c r="G44" s="28" t="n">
        <v>10</v>
      </c>
      <c r="H44" s="28" t="inlineStr">
        <is>
          <t>Lógica</t>
        </is>
      </c>
      <c r="I44" s="28" t="inlineStr">
        <is>
          <t>Seu código está quase certo, mas há uma falha na lógica de como as regras são aplicadas.</t>
        </is>
      </c>
      <c r="J44" s="28" t="inlineStr">
        <is>
          <t>Simule seu código mentalmente com a entrada 'papel lagarto'. O que ele retorna? E o que deveria retornar segundo as regras do jogo?</t>
        </is>
      </c>
      <c r="K44" s="29" t="inlineStr">
        <is>
          <t>Nenhum (código correto)</t>
        </is>
      </c>
      <c r="L44" s="29" t="n"/>
      <c r="M44" s="29" t="inlineStr">
        <is>
          <t>Passou 4/4 casos de teste.</t>
        </is>
      </c>
      <c r="N44" s="26">
        <f>IF(AND(H44&lt;&gt;"",K44&lt;&gt;""),IF(H44=K44,1,0),"")</f>
        <v/>
      </c>
      <c r="O44" s="30" t="n"/>
      <c r="P44" s="30" t="n"/>
      <c r="Q44" s="30" t="n"/>
      <c r="R44" s="30" t="n"/>
      <c r="S44" s="30" t="n"/>
      <c r="T44" s="26" t="n"/>
    </row>
    <row r="45" ht="153" customHeight="1" s="1">
      <c r="A45" s="26" t="n">
        <v>1132</v>
      </c>
      <c r="B45" s="26" t="n">
        <v>901</v>
      </c>
      <c r="C45" s="26" t="n">
        <v>1</v>
      </c>
      <c r="D45" s="26" t="inlineStr">
        <is>
          <t>Wrong answer (100%)</t>
        </is>
      </c>
      <c r="E45" s="27" t="inlineStr">
        <is>
          <t>x = int(input())
y = int(input())
if x &gt; y:
    x, y = y, x
soma = 0
for i in range(x, y + 1):
    if i % 13 == 0:
        soma += i
print(soma)</t>
        </is>
      </c>
      <c r="F45" s="28" t="b">
        <v>0</v>
      </c>
      <c r="G45" s="28" t="n">
        <v>7</v>
      </c>
      <c r="H45" s="28" t="inlineStr">
        <is>
          <t>Lógica</t>
        </is>
      </c>
      <c r="I45" s="28" t="inlineStr">
        <is>
          <t>Você está somando os números que são múltiplos de 13, mas o problema pede a soma dos NÃO múltiplos.</t>
        </is>
      </c>
      <c r="J45" s="28" t="inlineStr">
        <is>
          <t>Simule seu código no papel com a entrada X=1 e Y=1. Qual valor ele imprime? E qual deveria ser o resultado correto para essa entrada?</t>
        </is>
      </c>
      <c r="K45" s="29" t="inlineStr">
        <is>
          <t>Lógica</t>
        </is>
      </c>
      <c r="L45" s="29" t="n">
        <v>9</v>
      </c>
      <c r="M45" s="29" t="inlineStr">
        <is>
          <t>Condição invertida ('% 13 == 0'): soma justamente os múltiplos de 13.</t>
        </is>
      </c>
      <c r="N45" s="26">
        <f>IF(AND(H45&lt;&gt;"",K45&lt;&gt;""),IF(H45=K45,1,0),"")</f>
        <v/>
      </c>
      <c r="O45" s="30" t="n"/>
      <c r="P45" s="30" t="n"/>
      <c r="Q45" s="30" t="n"/>
      <c r="R45" s="30" t="n"/>
      <c r="S45" s="30" t="n"/>
      <c r="T45" s="26" t="n"/>
    </row>
    <row r="46" ht="153" customHeight="1" s="1">
      <c r="A46" s="26" t="n">
        <v>1132</v>
      </c>
      <c r="B46" s="26" t="n">
        <v>902</v>
      </c>
      <c r="C46" s="26" t="n">
        <v>1</v>
      </c>
      <c r="D46" s="26" t="inlineStr">
        <is>
          <t>Syntax error</t>
        </is>
      </c>
      <c r="E46" s="27" t="inlineStr">
        <is>
          <t>x = int(input())
y = int(input())
if x &gt; y
    x, y = y, x
soma = 0
for i in range(x, y + 1):
    if i % 13 != 0:
        soma += i
print(soma)</t>
        </is>
      </c>
      <c r="F46" s="28" t="b">
        <v>0</v>
      </c>
      <c r="G46" s="28" t="n">
        <v>5</v>
      </c>
      <c r="H46" s="28" t="inlineStr">
        <is>
          <t>Sintaxe</t>
        </is>
      </c>
      <c r="I46" s="28" t="inlineStr">
        <is>
          <t>Parece que há um erro na linha do comando 'if'.</t>
        </is>
      </c>
      <c r="J46" s="28" t="inlineStr">
        <is>
          <t>Simule seu código com a entrada X=200 e Y=100. O que acontece quando você tenta executar o if sem os dois pontos no final?</t>
        </is>
      </c>
      <c r="K46" s="29" t="inlineStr">
        <is>
          <t>Sintaxe</t>
        </is>
      </c>
      <c r="L46" s="29" t="n">
        <v>4</v>
      </c>
      <c r="M46" s="29" t="inlineStr">
        <is>
          <t>Falta ':' no final da condição (linha 4).</t>
        </is>
      </c>
      <c r="N46" s="26">
        <f>IF(AND(H46&lt;&gt;"",K46&lt;&gt;""),IF(H46=K46,1,0),"")</f>
        <v/>
      </c>
      <c r="O46" s="30" t="n"/>
      <c r="P46" s="30" t="n"/>
      <c r="Q46" s="30" t="n"/>
      <c r="R46" s="30" t="n"/>
      <c r="S46" s="30" t="n"/>
      <c r="T46" s="26" t="n"/>
    </row>
    <row r="47" ht="89.25" customHeight="1" s="1">
      <c r="A47" s="26" t="n">
        <v>1153</v>
      </c>
      <c r="B47" s="26" t="n">
        <v>903</v>
      </c>
      <c r="C47" s="26" t="n">
        <v>1</v>
      </c>
      <c r="D47" s="26" t="inlineStr">
        <is>
          <t>Wrong answer (100%)</t>
        </is>
      </c>
      <c r="E47" s="27" t="inlineStr">
        <is>
          <t>n = int(input())
fatorial = 0
for i in range(1, n + 1):
    fatorial *= i
print(fatorial)</t>
        </is>
      </c>
      <c r="F47" s="28" t="b">
        <v>0</v>
      </c>
      <c r="G47" s="28" t="n">
        <v>3</v>
      </c>
      <c r="H47" s="28" t="inlineStr">
        <is>
          <t>Lógica</t>
        </is>
      </c>
      <c r="I47" s="28" t="inlineStr">
        <is>
          <t>O valor inicial da variável fatorial está incorreto, o que faz com que todo o cálculo seja anulado.</t>
        </is>
      </c>
      <c r="J47" s="28" t="inlineStr">
        <is>
          <t>Simule seu código no papel com N=4. Qual é o valor de fatorial após a primeira iteração do laço? E depois da segunda?</t>
        </is>
      </c>
      <c r="K47" s="29" t="inlineStr">
        <is>
          <t>Lógica</t>
        </is>
      </c>
      <c r="L47" s="29" t="n">
        <v>2</v>
      </c>
      <c r="M47" s="29" t="inlineStr">
        <is>
          <t>'fatorial' inicializado como 0: multiplicação zera tudo, resultado sempre 0.</t>
        </is>
      </c>
      <c r="N47" s="26">
        <f>IF(AND(H47&lt;&gt;"",K47&lt;&gt;""),IF(H47=K47,1,0),"")</f>
        <v/>
      </c>
      <c r="O47" s="30" t="n"/>
      <c r="P47" s="30" t="n"/>
      <c r="Q47" s="30" t="n"/>
      <c r="R47" s="30" t="n"/>
      <c r="S47" s="30" t="n"/>
      <c r="T47" s="26" t="n"/>
    </row>
    <row r="48" ht="89.25" customHeight="1" s="1">
      <c r="A48" s="26" t="n">
        <v>1153</v>
      </c>
      <c r="B48" s="26" t="n">
        <v>904</v>
      </c>
      <c r="C48" s="26" t="n">
        <v>1</v>
      </c>
      <c r="D48" s="26" t="inlineStr">
        <is>
          <t>Wrong answer (100%)</t>
        </is>
      </c>
      <c r="E48" s="27" t="inlineStr">
        <is>
          <t>n = int(input())
fat = 1
for i in range(1, n):
    fat *= i
print(fat)</t>
        </is>
      </c>
      <c r="F48" s="28" t="b">
        <v>0</v>
      </c>
      <c r="G48" s="28" t="n">
        <v>3</v>
      </c>
      <c r="H48" s="28" t="inlineStr">
        <is>
          <t>Lógica</t>
        </is>
      </c>
      <c r="I48" s="28" t="inlineStr">
        <is>
          <t>Seu código está quase certo, mas parece que ele não está incluindo um valor importante no cálculo.</t>
        </is>
      </c>
      <c r="J48" s="28" t="inlineStr">
        <is>
          <t>Simule seu código mentalmente com a entrada N=4. Quantas vezes o laço executa? E qual seria o resultado final?</t>
        </is>
      </c>
      <c r="K48" s="29" t="inlineStr">
        <is>
          <t>Lógica</t>
        </is>
      </c>
      <c r="L48" s="29" t="n">
        <v>4</v>
      </c>
      <c r="M48" s="29" t="inlineStr">
        <is>
          <t>range do fatorial não cobre todos os fatores: resultado menor que o correto.</t>
        </is>
      </c>
      <c r="N48" s="26">
        <f>IF(AND(H48&lt;&gt;"",K48&lt;&gt;""),IF(H48=K48,1,0),"")</f>
        <v/>
      </c>
      <c r="O48" s="30" t="n"/>
      <c r="P48" s="30" t="n"/>
      <c r="Q48" s="30" t="n"/>
      <c r="R48" s="30" t="n"/>
      <c r="S48" s="30" t="n"/>
      <c r="T48" s="26" t="n"/>
    </row>
    <row r="49" ht="255" customHeight="1" s="1">
      <c r="A49" s="26" t="n">
        <v>1828</v>
      </c>
      <c r="B49" s="26" t="n">
        <v>905</v>
      </c>
      <c r="C49" s="26" t="n">
        <v>1</v>
      </c>
      <c r="D49" s="26" t="inlineStr">
        <is>
          <t>Presentation Error</t>
        </is>
      </c>
      <c r="E49" s="27" t="inlineStr">
        <is>
          <t>n = int(input())
for i in range(1, n + 1):
    sheldon, raj = input().split()
    if sheldon == raj:
        print(f"Caso {i}: De novo!")
    elif (sheldon == "tesoura" and raj == "papel") or \
         (sheldon == "papel" and raj == "pedra") or \
         (sheldon == "pedra" and raj == "lagarto") or \
         (sheldon == "lagarto" and raj == "Spock") or \
         (sheldon == "Spock" and raj == "tesoura") or \
         (sheldon == "tesoura" and raj == "lagarto") or \
         (sheldon == "lagarto" and raj == "papel") or \
         (sheldon == "papel" and raj == "Spock") or \
         (sheldon == "Spock" and raj == "pedra") or \
         (sheldon == "pedra" and raj == "tesoura"):
        print(f"Caso {i}: Bazinga!")
    else:
        print(f"Caso {i}: Raj trapaceou!")</t>
        </is>
      </c>
      <c r="F49" s="28" t="b">
        <v>0</v>
      </c>
      <c r="G49" s="28" t="n">
        <v>10</v>
      </c>
      <c r="H49" s="28" t="inlineStr">
        <is>
          <t>Lógica</t>
        </is>
      </c>
      <c r="I49" s="28" t="inlineStr">
        <is>
          <t>Seu código está verificando regras de vitória incorretamente. Tente pensar com mais cuidado sobre quem vence em cada par de jogadas.</t>
        </is>
      </c>
      <c r="J49" s="28" t="inlineStr">
        <is>
          <t>Simule seu código no papel com a entrada 'Spock tesoura'. O que ele imprime? E o resultado correto deveria ser?</t>
        </is>
      </c>
      <c r="K49" s="29" t="inlineStr">
        <is>
          <t>Lógica</t>
        </is>
      </c>
      <c r="L49" s="29" t="n">
        <v>7</v>
      </c>
      <c r="M49" s="29" t="inlineStr">
        <is>
          <t>Formato de saída: imprime 'Caso 1:' em vez de 'Caso #1:' (falta o '#').</t>
        </is>
      </c>
      <c r="N49" s="26">
        <f>IF(AND(H49&lt;&gt;"",K49&lt;&gt;""),IF(H49=K49,1,0),"")</f>
        <v/>
      </c>
      <c r="O49" s="30" t="n"/>
      <c r="P49" s="30" t="n"/>
      <c r="Q49" s="30" t="n"/>
      <c r="R49" s="30" t="n"/>
      <c r="S49" s="30" t="n"/>
      <c r="T49" s="26" t="n"/>
    </row>
    <row r="50" ht="242.25" customHeight="1" s="1">
      <c r="A50" s="26" t="n">
        <v>1828</v>
      </c>
      <c r="B50" s="26" t="n">
        <v>906</v>
      </c>
      <c r="C50" s="26" t="n">
        <v>1</v>
      </c>
      <c r="D50" s="26" t="inlineStr">
        <is>
          <t>Runtime error</t>
        </is>
      </c>
      <c r="E50" s="27" t="inlineStr">
        <is>
          <t>t = int(input())
for i in range(1, t + 1):
    jogadas = input().split(",")
    s = jogadas[0]
    r = jogadas[1]
    if s == r:
        print(f"Caso #{i}: De novo!")
    elif (s == "tesoura" and r == "papel") or (s == "papel" and r == "pedra") or (s == "pedra" and r == "lagarto") or (s == "lagarto" and r == "Spock") or (s == "Spock" and r == "tesoura") or (s == "tesoura" and r == "lagarto") or (s == "lagarto" and r == "papel") or (s == "papel" and r == "Spock") or (s == "Spock" and r == "pedra") or (s == "pedra" and r == "tesoura"):
        print(f"Caso #{i}: Bazinga!")
    else:
        print(f"Caso #{i}: Raj trapaceou!")</t>
        </is>
      </c>
      <c r="F50" s="28" t="b">
        <v>0</v>
      </c>
      <c r="G50" s="28" t="n">
        <v>4</v>
      </c>
      <c r="H50" s="28" t="inlineStr">
        <is>
          <t>Sintaxe</t>
        </is>
      </c>
      <c r="I50" s="28" t="inlineStr">
        <is>
          <t>Parece que o código não está lendo corretamente as entradas. Verifique como você está separando os valores.</t>
        </is>
      </c>
      <c r="J50" s="28" t="inlineStr">
        <is>
          <t>Simule seu código com a entrada 'Spock pedra'. O que acontece quando você faz split(',') nessa linha? Você consegue identificar qual parte da jogada está sendo armazenada em s e r?</t>
        </is>
      </c>
      <c r="K50" s="29" t="inlineStr">
        <is>
          <t>Execução</t>
        </is>
      </c>
      <c r="L50" s="29" t="n">
        <v>6</v>
      </c>
      <c r="M50" s="29" t="inlineStr">
        <is>
          <t>split(',') com entrada separada por espaço: lista com 1 elemento -&gt; IndexError.</t>
        </is>
      </c>
      <c r="N50" s="26">
        <f>IF(AND(H50&lt;&gt;"",K50&lt;&gt;""),IF(H50=K50,1,0),"")</f>
        <v/>
      </c>
      <c r="O50" s="30" t="n"/>
      <c r="P50" s="30" t="n"/>
      <c r="Q50" s="30" t="n"/>
      <c r="R50" s="30" t="n"/>
      <c r="S50" s="30" t="n"/>
      <c r="T50" s="26" t="n"/>
    </row>
    <row r="51" ht="255" customHeight="1" s="1">
      <c r="A51" s="26" t="n">
        <v>1873</v>
      </c>
      <c r="B51" s="26" t="n">
        <v>907</v>
      </c>
      <c r="C51" s="26" t="n">
        <v>1</v>
      </c>
      <c r="D51" s="26" t="inlineStr">
        <is>
          <t>Wrong answer(100%)</t>
        </is>
      </c>
      <c r="E51" s="27" t="inlineStr">
        <is>
          <t>c = int(input())
for _ in range(c):
    rajesh, sheldon = input().split()
    if rajesh == sheldon:
        print("empate")
    elif (rajesh == "tesoura" and sheldon == "papel") or \
         (rajesh == "papel" and sheldon == "pedra") or \
         (rajesh == "pedra" and sheldon == "lagarto") or \
         (rajesh == "lagarto" and sheldon == "Spock") or \
         (rajesh == "Spock" and sheldon == "tesoura") or \
         (rajesh == "tesoura" and sheldon == "lagarto") or \
         (rajesh == "lagarto" and sheldon == "papel") or \
         (rajesh == "papel" and sheldon == "Spock") or \
         (rajesh == "Spock" and sheldon == "pedra") or \
         (rajesh == "pedra" and sheldon == "tesoura"):
        print("Rajesh")
    else:
        print("Sheldon")</t>
        </is>
      </c>
      <c r="F51" s="28" t="b">
        <v>0</v>
      </c>
      <c r="G51" s="28" t="n">
        <v>10</v>
      </c>
      <c r="H51" s="28" t="inlineStr">
        <is>
          <t>Lógica</t>
        </is>
      </c>
      <c r="I51" s="28" t="inlineStr">
        <is>
          <t>Seu código não cobriu todas as regras do jogo. Tente verificar se há combinações de escolhas que podem resultar em vitória para rajesh, mas seu algoritmo ainda não está capturando esses casos.</t>
        </is>
      </c>
      <c r="J51" s="28" t="inlineStr">
        <is>
          <t>Simule seu código com a entrada 'pedra tesoura'. O que ele imprime? Será que essa é realmente a saída correta?</t>
        </is>
      </c>
      <c r="K51" s="29" t="inlineStr">
        <is>
          <t>Lógica</t>
        </is>
      </c>
      <c r="L51" s="29" t="n">
        <v>19</v>
      </c>
      <c r="M51" s="29" t="inlineStr">
        <is>
          <t>Formato de saída: nomes com inicial maiúscula ('Rajesh'/'Sheldon') em vez de minúscula.</t>
        </is>
      </c>
      <c r="N51" s="26">
        <f>IF(AND(H51&lt;&gt;"",K51&lt;&gt;""),IF(H51=K51,1,0),"")</f>
        <v/>
      </c>
      <c r="O51" s="30" t="n"/>
      <c r="P51" s="30" t="n"/>
      <c r="Q51" s="30" t="n"/>
      <c r="R51" s="30" t="n"/>
      <c r="S51" s="30" t="n"/>
      <c r="T51" s="2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7"/>
  <sheetViews>
    <sheetView zoomScaleNormal="100" workbookViewId="0">
      <selection activeCell="B3" sqref="B3"/>
    </sheetView>
  </sheetViews>
  <sheetFormatPr baseColWidth="8" defaultColWidth="8.7109375" defaultRowHeight="15" outlineLevelCol="0"/>
  <cols>
    <col width="32" customWidth="1" style="1" min="1" max="1"/>
    <col width="16" customWidth="1" style="1" min="2" max="2"/>
  </cols>
  <sheetData>
    <row r="1" ht="15" customHeight="1" s="1">
      <c r="A1" s="12" t="inlineStr">
        <is>
          <t>Total de casos avaliados</t>
        </is>
      </c>
      <c r="B1" s="13">
        <f>COUNTA(Avaliacao!A2:A51)</f>
        <v/>
      </c>
    </row>
    <row r="2" ht="15" customHeight="1" s="1">
      <c r="A2" s="14" t="inlineStr">
        <is>
          <t>Casos com diagnóstico preenchido</t>
        </is>
      </c>
      <c r="B2" s="15">
        <f>COUNT(Avaliacao!N2:N51)</f>
        <v/>
      </c>
    </row>
    <row r="3" ht="15" customHeight="1" s="1">
      <c r="A3" s="14" t="inlineStr">
        <is>
          <t>% Diagnóstico correto (tipo de erro)</t>
        </is>
      </c>
      <c r="B3" s="15">
        <f>IFERROR(AVERAGE(Avaliacao!N2:N51),"")</f>
        <v/>
      </c>
    </row>
    <row r="4" ht="15" customHeight="1" s="1">
      <c r="A4" s="15" t="n"/>
      <c r="B4" s="15" t="n"/>
    </row>
    <row r="5" ht="15" customHeight="1" s="1">
      <c r="A5" s="14" t="inlineStr">
        <is>
          <t>Média - Não revela solução</t>
        </is>
      </c>
      <c r="B5" s="15">
        <f>IFERROR(AVERAGE(Avaliacao!O2:O51),"")</f>
        <v/>
      </c>
    </row>
    <row r="6" ht="15" customHeight="1" s="1">
      <c r="A6" s="14" t="inlineStr">
        <is>
          <t>Média - Foco em um único erro</t>
        </is>
      </c>
      <c r="B6" s="15">
        <f>IFERROR(AVERAGE(Avaliacao!P2:P51),"")</f>
        <v/>
      </c>
    </row>
    <row r="7" ht="15" customHeight="1" s="1">
      <c r="A7" s="14" t="inlineStr">
        <is>
          <t>Média - Qualidade socrática</t>
        </is>
      </c>
      <c r="B7" s="15">
        <f>IFERROR(AVERAGE(Avaliacao!Q2:Q51),"")</f>
        <v/>
      </c>
    </row>
    <row r="8" ht="15" customHeight="1" s="1">
      <c r="A8" s="14" t="inlineStr">
        <is>
          <t>Média - Clareza</t>
        </is>
      </c>
      <c r="B8" s="15">
        <f>IFERROR(AVERAGE(Avaliacao!R2:R51),"")</f>
        <v/>
      </c>
    </row>
    <row r="9" ht="15" customHeight="1" s="1">
      <c r="A9" s="14" t="inlineStr">
        <is>
          <t>Média - Tom motivacional</t>
        </is>
      </c>
      <c r="B9" s="15">
        <f>IFERROR(AVERAGE(Avaliacao!S2:S51),"")</f>
        <v/>
      </c>
    </row>
    <row r="10" ht="15" customHeight="1" s="1">
      <c r="A10" s="15" t="n"/>
      <c r="B10" s="15" t="n"/>
    </row>
    <row r="11" ht="15" customHeight="1" s="1">
      <c r="A11" s="14" t="inlineStr">
        <is>
          <t>Por problema</t>
        </is>
      </c>
      <c r="B11" s="15" t="n"/>
    </row>
    <row r="13" ht="15" customHeight="1" s="1">
      <c r="A13" s="14" t="inlineStr">
        <is>
          <t>Problema</t>
        </is>
      </c>
      <c r="B13" s="14" t="inlineStr">
        <is>
          <t>% Diagnóstico correto</t>
        </is>
      </c>
      <c r="C13" s="14" t="inlineStr">
        <is>
          <t>Média Qualidade Socrática</t>
        </is>
      </c>
    </row>
    <row r="14" ht="15" customHeight="1" s="1">
      <c r="A14" t="n">
        <v>1132</v>
      </c>
      <c r="B14">
        <f>IFERROR(AVERAGEIF(Avaliacao!A2:A51,1132,Avaliacao!N2:N51),"")</f>
        <v/>
      </c>
      <c r="C14">
        <f>IFERROR(AVERAGEIF(Avaliacao!A2:A51,1132,Avaliacao!Q2:Q51),"")</f>
        <v/>
      </c>
    </row>
    <row r="15" ht="15" customHeight="1" s="1">
      <c r="A15" t="n">
        <v>1153</v>
      </c>
      <c r="B15">
        <f>IFERROR(AVERAGEIF(Avaliacao!A2:A51,1153,Avaliacao!N2:N51),"")</f>
        <v/>
      </c>
      <c r="C15">
        <f>IFERROR(AVERAGEIF(Avaliacao!A2:A51,1153,Avaliacao!Q2:Q51),"")</f>
        <v/>
      </c>
    </row>
    <row r="16" ht="15" customHeight="1" s="1">
      <c r="A16" t="n">
        <v>1828</v>
      </c>
      <c r="B16">
        <f>IFERROR(AVERAGEIF(Avaliacao!A2:A51,1828,Avaliacao!N2:N51),"")</f>
        <v/>
      </c>
      <c r="C16">
        <f>IFERROR(AVERAGEIF(Avaliacao!A2:A51,1828,Avaliacao!Q2:Q51),"")</f>
        <v/>
      </c>
    </row>
    <row r="17" ht="15" customHeight="1" s="1">
      <c r="A17" t="n">
        <v>1873</v>
      </c>
      <c r="B17">
        <f>IFERROR(AVERAGEIF(Avaliacao!A2:A51,1873,Avaliacao!N2:N51),"")</f>
        <v/>
      </c>
      <c r="C17">
        <f>IFERROR(AVERAGEIF(Avaliacao!A2:A51,1873,Avaliacao!Q2:Q51),"")</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B11"/>
  <sheetViews>
    <sheetView zoomScaleNormal="100" workbookViewId="0">
      <selection activeCell="B5" sqref="B5"/>
    </sheetView>
  </sheetViews>
  <sheetFormatPr baseColWidth="8" defaultColWidth="8.7109375" defaultRowHeight="15" outlineLevelCol="0"/>
  <cols>
    <col width="28" customWidth="1" style="1" min="1" max="1"/>
    <col width="90" customWidth="1" style="1" min="2" max="2"/>
  </cols>
  <sheetData>
    <row r="1" ht="19.5" customHeight="1" s="1">
      <c r="A1" s="12" t="inlineStr">
        <is>
          <t>Coluna</t>
        </is>
      </c>
      <c r="B1" s="12" t="inlineStr">
        <is>
          <t>O que significa e como preencher</t>
        </is>
      </c>
    </row>
    <row r="2" ht="30" customHeight="1" s="1">
      <c r="A2" s="14" t="inlineStr">
        <is>
          <t>Gemini_*</t>
        </is>
      </c>
      <c r="B2" s="16" t="inlineStr">
        <is>
          <t>Preenchidas automaticamente pelo script avaliar_lote.py, a partir do JSON retornado pelo modelo.</t>
        </is>
      </c>
    </row>
    <row r="3" ht="30" customHeight="1" s="1">
      <c r="A3" s="14" t="inlineStr">
        <is>
          <t>Gold_tipo_erro / Gold_linha_erro</t>
        </is>
      </c>
      <c r="B3" s="17" t="inlineStr">
        <is>
          <t>Padrão-ouro. Compare o código desta tentativa com a PRÓXIMA tentativa do mesmo aluno/problema: a diferença entre elas geralmente revela o que foi corrigido. Se o Status_Original já é 'Accepted', use 'Nenhum (código correto)'. Preenchido manualmente (rápido: normalmente é só olhar o diff).</t>
        </is>
      </c>
    </row>
    <row r="4" ht="30" customHeight="1" s="1">
      <c r="A4" s="14" t="inlineStr">
        <is>
          <t>Gold_descricao_correcao</t>
        </is>
      </c>
      <c r="B4" s="17" t="inlineStr">
        <is>
          <t>Uma frase curta descrevendo a correção real (ex.: 'faltavam dois-pontos no for').</t>
        </is>
      </c>
    </row>
    <row r="5" ht="30" customHeight="1" s="1">
      <c r="A5" s="14" t="inlineStr">
        <is>
          <t>Diagnostico_Correto</t>
        </is>
      </c>
      <c r="B5" s="16" t="inlineStr">
        <is>
          <t>Fórmula automática: 1 se Gemini_tipo_erro bate com Gold_tipo_erro, 0 caso contrário.</t>
        </is>
      </c>
    </row>
    <row r="6" ht="30" customHeight="1" s="1">
      <c r="A6" s="14" t="inlineStr">
        <is>
          <t>Nao_Revela_Solucao (1-5)</t>
        </is>
      </c>
      <c r="B6" s="16" t="inlineStr">
        <is>
          <t>5 = não entrega a solução em nenhuma forma (nem em texto). 3 = insinua fortemente o que fazer. 1 = entrega a correção pronta (viola a regra 1 do prompt).</t>
        </is>
      </c>
    </row>
    <row r="7" ht="30" customHeight="1" s="1">
      <c r="A7" s="14" t="inlineStr">
        <is>
          <t>Foco_Unico_Erro (1-5)</t>
        </is>
      </c>
      <c r="B7" s="16" t="inlineStr">
        <is>
          <t>5 = trata explicitamente de um único erro por vez, como pedido no prompt. 1 = mistura vários erros na mesma resposta.</t>
        </is>
      </c>
    </row>
    <row r="8" ht="30" customHeight="1" s="1">
      <c r="A8" s="14" t="inlineStr">
        <is>
          <t>Qualidade_Socratica (1-5)</t>
        </is>
      </c>
      <c r="B8" s="16" t="inlineStr">
        <is>
          <t>5 = a dica_acao é de fato uma pergunta guiada/caso de teste que leva o aluno a descobrir sozinho. 1 = é uma instrução direta disfarçada de pergunta.</t>
        </is>
      </c>
    </row>
    <row r="9" ht="30" customHeight="1" s="1">
      <c r="A9" s="14" t="inlineStr">
        <is>
          <t>Clareza (1-5)</t>
        </is>
      </c>
      <c r="B9" s="16" t="inlineStr">
        <is>
          <t>5 = linguagem clara e adequada a um iniciante. 1 = confuso ou usa jargão excessivo.</t>
        </is>
      </c>
    </row>
    <row r="10" ht="30" customHeight="1" s="1">
      <c r="A10" s="14" t="inlineStr">
        <is>
          <t>Tom_Motivacional (1-5)</t>
        </is>
      </c>
      <c r="B10" s="16" t="inlineStr">
        <is>
          <t>5 = encoraja o aluno. 1 = tom seco ou desmotivador.</t>
        </is>
      </c>
    </row>
    <row r="11" ht="30" customHeight="1" s="1">
      <c r="A11" s="14" t="inlineStr">
        <is>
          <t>Comentarios</t>
        </is>
      </c>
      <c r="B11" s="16" t="inlineStr">
        <is>
          <t>Qualquer observação qualitativa relevante (ex.: alucinação, erro de linha, resposta vaga).</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outlineLevelCol="0"/>
  <cols>
    <col width="38" customWidth="1" style="1" min="1" max="1"/>
    <col width="18" customWidth="1" style="1" min="2" max="2"/>
    <col width="26" customWidth="1" style="1" min="3" max="3"/>
    <col width="14" customWidth="1" style="1" min="4" max="4"/>
  </cols>
  <sheetData>
    <row r="1" ht="30" customHeight="1" s="1">
      <c r="A1" s="31" t="inlineStr">
        <is>
          <t>Métrica</t>
        </is>
      </c>
      <c r="B1" s="31" t="inlineStr">
        <is>
          <t>Gemini</t>
        </is>
      </c>
      <c r="C1" s="31" t="inlineStr">
        <is>
          <t>Qwen3-Coder-30B-A3B-Instruct-UD-Q8_K_XL (local, llama.cpp)</t>
        </is>
      </c>
      <c r="D1" s="31" t="inlineStr">
        <is>
          <t>Diferença</t>
        </is>
      </c>
    </row>
    <row r="2">
      <c r="A2" s="24" t="inlineStr">
        <is>
          <t>Casos avaliados</t>
        </is>
      </c>
      <c r="B2" s="25">
        <f>COUNT(Avaliacao!N2:N51)</f>
        <v/>
      </c>
      <c r="C2" s="25">
        <f>COUNT(Avaliacao_Local!N2:N51)</f>
        <v/>
      </c>
    </row>
    <row r="3">
      <c r="A3" s="24" t="inlineStr">
        <is>
          <t>% Diagnóstico correto</t>
        </is>
      </c>
      <c r="B3" s="25">
        <f>IFERROR(AVERAGE(Avaliacao!N2:N51),"")</f>
        <v/>
      </c>
      <c r="C3" s="25">
        <f>IFERROR(AVERAGE(Avaliacao_Local!N2:N51),"")</f>
        <v/>
      </c>
      <c r="D3" s="25">
        <f>IFERROR(C3-B3,"")</f>
        <v/>
      </c>
    </row>
    <row r="4">
      <c r="A4" s="24" t="inlineStr">
        <is>
          <t>Média - Não revela solução</t>
        </is>
      </c>
      <c r="B4" s="25">
        <f>IFERROR(AVERAGE(Avaliacao!O2:O51),"")</f>
        <v/>
      </c>
      <c r="C4" s="25">
        <f>IFERROR(AVERAGE(Avaliacao_Local!O2:O51),"")</f>
        <v/>
      </c>
      <c r="D4" s="25">
        <f>IFERROR(C4-B4,"")</f>
        <v/>
      </c>
    </row>
    <row r="5">
      <c r="A5" s="24" t="inlineStr">
        <is>
          <t>Média - Foco em um único erro</t>
        </is>
      </c>
      <c r="B5" s="25">
        <f>IFERROR(AVERAGE(Avaliacao!P2:P51),"")</f>
        <v/>
      </c>
      <c r="C5" s="25">
        <f>IFERROR(AVERAGE(Avaliacao_Local!P2:P51),"")</f>
        <v/>
      </c>
      <c r="D5" s="25">
        <f>IFERROR(C5-B5,"")</f>
        <v/>
      </c>
    </row>
    <row r="6">
      <c r="A6" s="24" t="inlineStr">
        <is>
          <t>Média - Qualidade socrática</t>
        </is>
      </c>
      <c r="B6" s="25">
        <f>IFERROR(AVERAGE(Avaliacao!Q2:Q51),"")</f>
        <v/>
      </c>
      <c r="C6" s="25">
        <f>IFERROR(AVERAGE(Avaliacao_Local!Q2:Q51),"")</f>
        <v/>
      </c>
      <c r="D6" s="25">
        <f>IFERROR(C6-B6,"")</f>
        <v/>
      </c>
    </row>
    <row r="7">
      <c r="A7" s="24" t="inlineStr">
        <is>
          <t>Média - Clareza</t>
        </is>
      </c>
      <c r="B7" s="25">
        <f>IFERROR(AVERAGE(Avaliacao!R2:R51),"")</f>
        <v/>
      </c>
      <c r="C7" s="25">
        <f>IFERROR(AVERAGE(Avaliacao_Local!R2:R51),"")</f>
        <v/>
      </c>
      <c r="D7" s="25">
        <f>IFERROR(C7-B7,"")</f>
        <v/>
      </c>
    </row>
    <row r="8">
      <c r="A8" s="24" t="inlineStr">
        <is>
          <t>Média - Tom motivacional</t>
        </is>
      </c>
      <c r="B8" s="25">
        <f>IFERROR(AVERAGE(Avaliacao!S2:S51),"")</f>
        <v/>
      </c>
      <c r="C8" s="25">
        <f>IFERROR(AVERAGE(Avaliacao_Local!S2:S51),"")</f>
        <v/>
      </c>
      <c r="D8" s="25">
        <f>IFERROR(C8-B8,"")</f>
        <v/>
      </c>
    </row>
    <row r="10">
      <c r="A10" s="24" t="inlineStr">
        <is>
          <t>Concordância entre os dois modelos</t>
        </is>
      </c>
    </row>
    <row r="11">
      <c r="A11" s="25" t="inlineStr">
        <is>
          <t>Linhas em que ambos deram o mesmo tipo de erro</t>
        </is>
      </c>
      <c r="B11" s="25">
        <f>SUMPRODUCT((Avaliacao!H2:H51&lt;&gt;"")*(Avaliacao_Local!H2:H51&lt;&gt;"")*(Avaliacao!H2:H51=Avaliacao_Local!H2:H51))</f>
        <v/>
      </c>
    </row>
    <row r="12">
      <c r="A12" s="25" t="inlineStr">
        <is>
          <t>% de concordância</t>
        </is>
      </c>
      <c r="B12" s="25">
        <f>IFERROR(B11/SUMPRODUCT((Avaliacao!H2:H51&lt;&gt;"")*(Avaliacao_Local!H2:H51&lt;&gt;"")),"")</f>
        <v/>
      </c>
    </row>
    <row r="14">
      <c r="A14" s="24" t="inlineStr">
        <is>
          <t>% Diagnóstico correto por problema</t>
        </is>
      </c>
    </row>
    <row r="15">
      <c r="A15" s="24" t="inlineStr">
        <is>
          <t>Problema</t>
        </is>
      </c>
      <c r="B15" s="24" t="inlineStr">
        <is>
          <t>Gemini</t>
        </is>
      </c>
      <c r="C15" s="24" t="inlineStr">
        <is>
          <t>Qwen3-Coder-30B-A3B-Instruct-UD-Q8_K_XL (local, llama.cpp)</t>
        </is>
      </c>
    </row>
    <row r="16">
      <c r="A16" s="25" t="n">
        <v>1132</v>
      </c>
      <c r="B16" s="25">
        <f>IFERROR(AVERAGEIF(Avaliacao!A2:A51,1132,Avaliacao!N2:N51),"")</f>
        <v/>
      </c>
      <c r="C16" s="25">
        <f>IFERROR(AVERAGEIF(Avaliacao_Local!A2:A51,1132,Avaliacao_Local!N2:N51),"")</f>
        <v/>
      </c>
    </row>
    <row r="17">
      <c r="A17" s="25" t="n">
        <v>1153</v>
      </c>
      <c r="B17" s="25">
        <f>IFERROR(AVERAGEIF(Avaliacao!A2:A51,1153,Avaliacao!N2:N51),"")</f>
        <v/>
      </c>
      <c r="C17" s="25">
        <f>IFERROR(AVERAGEIF(Avaliacao_Local!A2:A51,1153,Avaliacao_Local!N2:N51),"")</f>
        <v/>
      </c>
    </row>
    <row r="18">
      <c r="A18" s="25" t="n">
        <v>1828</v>
      </c>
      <c r="B18" s="25">
        <f>IFERROR(AVERAGEIF(Avaliacao!A2:A51,1828,Avaliacao!N2:N51),"")</f>
        <v/>
      </c>
      <c r="C18" s="25">
        <f>IFERROR(AVERAGEIF(Avaliacao_Local!A2:A51,1828,Avaliacao_Local!N2:N51),"")</f>
        <v/>
      </c>
    </row>
    <row r="19">
      <c r="A19" s="25" t="n">
        <v>1873</v>
      </c>
      <c r="B19" s="25">
        <f>IFERROR(AVERAGEIF(Avaliacao!A2:A51,1873,Avaliacao!N2:N51),"")</f>
        <v/>
      </c>
      <c r="C19" s="25">
        <f>IFERROR(AVERAGEIF(Avaliacao_Local!A2:A51,1873,Avaliacao_Local!N2:N51),"")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2026-07-07T13:13:14Z</dcterms:created>
  <dcterms:modified xsi:type="dcterms:W3CDTF">2026-08-12T18:11:41Z</dcterms:modified>
  <cp:lastModifiedBy>Arthur Vinicius Ferreira Rodrigues</cp:lastModifiedBy>
  <cp:revision>0</cp:revision>
</cp:coreProperties>
</file>